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PG@GarciaDataSolutions\Portifólio\"/>
    </mc:Choice>
  </mc:AlternateContent>
  <xr:revisionPtr revIDLastSave="0" documentId="8_{F9BC9E48-D980-460C-9E92-4642E7DD6798}" xr6:coauthVersionLast="47" xr6:coauthVersionMax="47" xr10:uidLastSave="{00000000-0000-0000-0000-000000000000}"/>
  <bookViews>
    <workbookView xWindow="-108" yWindow="-108" windowWidth="23256" windowHeight="12456" tabRatio="542" firstSheet="7" activeTab="14" xr2:uid="{00000000-000D-0000-FFFF-FFFF00000000}"/>
  </bookViews>
  <sheets>
    <sheet name="Menu" sheetId="1" r:id="rId1"/>
    <sheet name="Despesas" sheetId="2" r:id="rId2"/>
    <sheet name="Compras Mercadorias" sheetId="6" r:id="rId3"/>
    <sheet name="Controle de Estoque" sheetId="7" r:id="rId4"/>
    <sheet name="Investimentos" sheetId="8" r:id="rId5"/>
    <sheet name="Resultados" sheetId="4" r:id="rId6"/>
    <sheet name="Vendas" sheetId="9" r:id="rId7"/>
    <sheet name="Sem1" sheetId="10" r:id="rId8"/>
    <sheet name="Análise Sem1" sheetId="16" r:id="rId9"/>
    <sheet name="Sem2" sheetId="11" r:id="rId10"/>
    <sheet name="Análise Sem2" sheetId="17" r:id="rId11"/>
    <sheet name="Sem3" sheetId="12" r:id="rId12"/>
    <sheet name="Sem4" sheetId="13" r:id="rId13"/>
    <sheet name="Sem5" sheetId="14" r:id="rId14"/>
    <sheet name="cálculos" sheetId="5" r:id="rId15"/>
  </sheets>
  <definedNames>
    <definedName name="_xlnm.Print_Area" localSheetId="5">Resultados!$C$4:$E$25</definedName>
  </definedNames>
  <calcPr calcId="191029"/>
  <pivotCaches>
    <pivotCache cacheId="0" r:id="rId16"/>
    <pivotCache cacheId="1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G5" i="6"/>
  <c r="I5" i="6" s="1"/>
  <c r="E5" i="10"/>
  <c r="G5" i="10"/>
  <c r="H5" i="10" s="1"/>
  <c r="K5" i="10"/>
  <c r="M5" i="10"/>
  <c r="E6" i="10"/>
  <c r="G6" i="10"/>
  <c r="H6" i="10" s="1"/>
  <c r="K6" i="10"/>
  <c r="M6" i="10"/>
  <c r="E7" i="10"/>
  <c r="G7" i="10"/>
  <c r="H7" i="10" s="1"/>
  <c r="K7" i="10"/>
  <c r="M7" i="10"/>
  <c r="E8" i="10"/>
  <c r="G8" i="10"/>
  <c r="H8" i="10" s="1"/>
  <c r="K8" i="10"/>
  <c r="E9" i="10"/>
  <c r="G9" i="10"/>
  <c r="H9" i="10" s="1"/>
  <c r="K9" i="10"/>
  <c r="E10" i="10"/>
  <c r="G10" i="10"/>
  <c r="H10" i="10" s="1"/>
  <c r="K10" i="10"/>
  <c r="E11" i="10"/>
  <c r="G11" i="10"/>
  <c r="H11" i="10" s="1"/>
  <c r="K11" i="10"/>
  <c r="M11" i="10"/>
  <c r="E12" i="10"/>
  <c r="G12" i="10"/>
  <c r="H12" i="10" s="1"/>
  <c r="K12" i="10"/>
  <c r="E13" i="10"/>
  <c r="G13" i="10"/>
  <c r="H13" i="10" s="1"/>
  <c r="K13" i="10"/>
  <c r="M13" i="10"/>
  <c r="E14" i="10"/>
  <c r="G14" i="10"/>
  <c r="H14" i="10" s="1"/>
  <c r="K14" i="10"/>
  <c r="M14" i="10"/>
  <c r="E15" i="10"/>
  <c r="G15" i="10"/>
  <c r="H15" i="10" s="1"/>
  <c r="K15" i="10"/>
  <c r="M15" i="10"/>
  <c r="E16" i="10"/>
  <c r="G16" i="10"/>
  <c r="H16" i="10" s="1"/>
  <c r="K16" i="10"/>
  <c r="E17" i="10"/>
  <c r="G17" i="10"/>
  <c r="H17" i="10" s="1"/>
  <c r="K17" i="10"/>
  <c r="E18" i="10"/>
  <c r="G18" i="10"/>
  <c r="H18" i="10" s="1"/>
  <c r="K18" i="10"/>
  <c r="E19" i="10"/>
  <c r="G19" i="10"/>
  <c r="H19" i="10" s="1"/>
  <c r="K19" i="10"/>
  <c r="M19" i="10"/>
  <c r="E20" i="10"/>
  <c r="G20" i="10"/>
  <c r="H20" i="10" s="1"/>
  <c r="K20" i="10"/>
  <c r="M20" i="10"/>
  <c r="E21" i="10"/>
  <c r="G21" i="10"/>
  <c r="H21" i="10" s="1"/>
  <c r="K21" i="10"/>
  <c r="E22" i="10"/>
  <c r="G22" i="10"/>
  <c r="H22" i="10" s="1"/>
  <c r="K22" i="10"/>
  <c r="E23" i="10"/>
  <c r="G23" i="10"/>
  <c r="H23" i="10" s="1"/>
  <c r="K23" i="10"/>
  <c r="M23" i="10"/>
  <c r="E24" i="10"/>
  <c r="G24" i="10"/>
  <c r="H24" i="10" s="1"/>
  <c r="K24" i="10"/>
  <c r="E25" i="10"/>
  <c r="G25" i="10"/>
  <c r="H25" i="10" s="1"/>
  <c r="K25" i="10"/>
  <c r="E26" i="10"/>
  <c r="G26" i="10"/>
  <c r="H26" i="10" s="1"/>
  <c r="K26" i="10"/>
  <c r="E27" i="10"/>
  <c r="G27" i="10"/>
  <c r="H27" i="10" s="1"/>
  <c r="K27" i="10"/>
  <c r="M27" i="10"/>
  <c r="E28" i="10"/>
  <c r="G28" i="10"/>
  <c r="H28" i="10" s="1"/>
  <c r="K28" i="10"/>
  <c r="M28" i="10"/>
  <c r="E29" i="10"/>
  <c r="G29" i="10"/>
  <c r="H29" i="10" s="1"/>
  <c r="K29" i="10"/>
  <c r="E19" i="4"/>
  <c r="E11" i="8"/>
  <c r="E17" i="4" s="1"/>
  <c r="L25" i="10" l="1"/>
  <c r="M25" i="10" s="1"/>
  <c r="L18" i="10"/>
  <c r="M18" i="10" s="1"/>
  <c r="L10" i="10"/>
  <c r="M10" i="10" s="1"/>
  <c r="L26" i="10"/>
  <c r="M26" i="10" s="1"/>
  <c r="L21" i="10"/>
  <c r="L20" i="10"/>
  <c r="L12" i="10"/>
  <c r="L29" i="10"/>
  <c r="M29" i="10" s="1"/>
  <c r="L27" i="10"/>
  <c r="L22" i="10"/>
  <c r="M22" i="10" s="1"/>
  <c r="L16" i="10"/>
  <c r="L15" i="10"/>
  <c r="L14" i="10"/>
  <c r="L13" i="10"/>
  <c r="L8" i="10"/>
  <c r="L7" i="10"/>
  <c r="L6" i="10"/>
  <c r="L5" i="10"/>
  <c r="L19" i="10"/>
  <c r="L11" i="10"/>
  <c r="M12" i="10" s="1"/>
  <c r="L28" i="10"/>
  <c r="L24" i="10"/>
  <c r="L23" i="10"/>
  <c r="L17" i="10"/>
  <c r="M17" i="10" s="1"/>
  <c r="L9" i="10"/>
  <c r="M9" i="10" s="1"/>
  <c r="D43" i="9"/>
  <c r="L33" i="10"/>
  <c r="M8" i="10" l="1"/>
  <c r="M16" i="10"/>
  <c r="M24" i="10"/>
  <c r="M21" i="10"/>
  <c r="L33" i="14"/>
  <c r="L33" i="13"/>
  <c r="L33" i="12"/>
  <c r="L33" i="11"/>
  <c r="M29" i="14"/>
  <c r="K29" i="14"/>
  <c r="G29" i="14"/>
  <c r="H29" i="14" s="1"/>
  <c r="L29" i="14" s="1"/>
  <c r="E29" i="14"/>
  <c r="M28" i="14"/>
  <c r="K28" i="14"/>
  <c r="G28" i="14"/>
  <c r="H28" i="14" s="1"/>
  <c r="L28" i="14" s="1"/>
  <c r="E28" i="14"/>
  <c r="M27" i="14"/>
  <c r="K27" i="14"/>
  <c r="G27" i="14"/>
  <c r="H27" i="14" s="1"/>
  <c r="E27" i="14"/>
  <c r="M26" i="14"/>
  <c r="K26" i="14"/>
  <c r="G26" i="14"/>
  <c r="H26" i="14" s="1"/>
  <c r="E26" i="14"/>
  <c r="M25" i="14"/>
  <c r="K25" i="14"/>
  <c r="G25" i="14"/>
  <c r="H25" i="14" s="1"/>
  <c r="E25" i="14"/>
  <c r="M24" i="14"/>
  <c r="K24" i="14"/>
  <c r="G24" i="14"/>
  <c r="H24" i="14" s="1"/>
  <c r="E24" i="14"/>
  <c r="M23" i="14"/>
  <c r="K23" i="14"/>
  <c r="G23" i="14"/>
  <c r="H23" i="14" s="1"/>
  <c r="E23" i="14"/>
  <c r="M22" i="14"/>
  <c r="K22" i="14"/>
  <c r="G22" i="14"/>
  <c r="H22" i="14" s="1"/>
  <c r="E22" i="14"/>
  <c r="M21" i="14"/>
  <c r="K21" i="14"/>
  <c r="G21" i="14"/>
  <c r="H21" i="14" s="1"/>
  <c r="E21" i="14"/>
  <c r="M20" i="14"/>
  <c r="K20" i="14"/>
  <c r="G20" i="14"/>
  <c r="H20" i="14" s="1"/>
  <c r="E20" i="14"/>
  <c r="M19" i="14"/>
  <c r="K19" i="14"/>
  <c r="G19" i="14"/>
  <c r="H19" i="14" s="1"/>
  <c r="E19" i="14"/>
  <c r="M18" i="14"/>
  <c r="K18" i="14"/>
  <c r="G18" i="14"/>
  <c r="H18" i="14" s="1"/>
  <c r="E18" i="14"/>
  <c r="M17" i="14"/>
  <c r="K17" i="14"/>
  <c r="G17" i="14"/>
  <c r="H17" i="14" s="1"/>
  <c r="E17" i="14"/>
  <c r="M16" i="14"/>
  <c r="K16" i="14"/>
  <c r="G16" i="14"/>
  <c r="H16" i="14" s="1"/>
  <c r="L16" i="14" s="1"/>
  <c r="E16" i="14"/>
  <c r="M15" i="14"/>
  <c r="K15" i="14"/>
  <c r="G15" i="14"/>
  <c r="H15" i="14" s="1"/>
  <c r="E15" i="14"/>
  <c r="M14" i="14"/>
  <c r="K14" i="14"/>
  <c r="G14" i="14"/>
  <c r="H14" i="14" s="1"/>
  <c r="L14" i="14" s="1"/>
  <c r="E14" i="14"/>
  <c r="M13" i="14"/>
  <c r="K13" i="14"/>
  <c r="G13" i="14"/>
  <c r="H13" i="14" s="1"/>
  <c r="E13" i="14"/>
  <c r="M12" i="14"/>
  <c r="K12" i="14"/>
  <c r="G12" i="14"/>
  <c r="H12" i="14" s="1"/>
  <c r="E12" i="14"/>
  <c r="M11" i="14"/>
  <c r="K11" i="14"/>
  <c r="G11" i="14"/>
  <c r="H11" i="14" s="1"/>
  <c r="E11" i="14"/>
  <c r="M10" i="14"/>
  <c r="K10" i="14"/>
  <c r="G10" i="14"/>
  <c r="H10" i="14" s="1"/>
  <c r="E10" i="14"/>
  <c r="M9" i="14"/>
  <c r="K9" i="14"/>
  <c r="G9" i="14"/>
  <c r="H9" i="14" s="1"/>
  <c r="E9" i="14"/>
  <c r="M8" i="14"/>
  <c r="K8" i="14"/>
  <c r="G8" i="14"/>
  <c r="H8" i="14" s="1"/>
  <c r="E8" i="14"/>
  <c r="M7" i="14"/>
  <c r="K7" i="14"/>
  <c r="G7" i="14"/>
  <c r="H7" i="14" s="1"/>
  <c r="E7" i="14"/>
  <c r="M6" i="14"/>
  <c r="K6" i="14"/>
  <c r="G6" i="14"/>
  <c r="H6" i="14" s="1"/>
  <c r="E6" i="14"/>
  <c r="M5" i="14"/>
  <c r="K5" i="14"/>
  <c r="G5" i="14"/>
  <c r="H5" i="14" s="1"/>
  <c r="E5" i="14"/>
  <c r="M29" i="13"/>
  <c r="K29" i="13"/>
  <c r="G29" i="13"/>
  <c r="H29" i="13" s="1"/>
  <c r="E29" i="13"/>
  <c r="M28" i="13"/>
  <c r="K28" i="13"/>
  <c r="G28" i="13"/>
  <c r="H28" i="13" s="1"/>
  <c r="E28" i="13"/>
  <c r="M27" i="13"/>
  <c r="K27" i="13"/>
  <c r="G27" i="13"/>
  <c r="H27" i="13" s="1"/>
  <c r="E27" i="13"/>
  <c r="M26" i="13"/>
  <c r="K26" i="13"/>
  <c r="G26" i="13"/>
  <c r="H26" i="13" s="1"/>
  <c r="E26" i="13"/>
  <c r="M25" i="13"/>
  <c r="K25" i="13"/>
  <c r="G25" i="13"/>
  <c r="H25" i="13" s="1"/>
  <c r="E25" i="13"/>
  <c r="M24" i="13"/>
  <c r="K24" i="13"/>
  <c r="G24" i="13"/>
  <c r="H24" i="13" s="1"/>
  <c r="E24" i="13"/>
  <c r="M23" i="13"/>
  <c r="K23" i="13"/>
  <c r="G23" i="13"/>
  <c r="H23" i="13" s="1"/>
  <c r="E23" i="13"/>
  <c r="M22" i="13"/>
  <c r="K22" i="13"/>
  <c r="G22" i="13"/>
  <c r="H22" i="13" s="1"/>
  <c r="E22" i="13"/>
  <c r="M21" i="13"/>
  <c r="K21" i="13"/>
  <c r="G21" i="13"/>
  <c r="H21" i="13" s="1"/>
  <c r="E21" i="13"/>
  <c r="M20" i="13"/>
  <c r="K20" i="13"/>
  <c r="G20" i="13"/>
  <c r="H20" i="13" s="1"/>
  <c r="E20" i="13"/>
  <c r="M19" i="13"/>
  <c r="K19" i="13"/>
  <c r="G19" i="13"/>
  <c r="H19" i="13" s="1"/>
  <c r="E19" i="13"/>
  <c r="M18" i="13"/>
  <c r="K18" i="13"/>
  <c r="G18" i="13"/>
  <c r="H18" i="13" s="1"/>
  <c r="E18" i="13"/>
  <c r="M17" i="13"/>
  <c r="K17" i="13"/>
  <c r="G17" i="13"/>
  <c r="H17" i="13" s="1"/>
  <c r="E17" i="13"/>
  <c r="M16" i="13"/>
  <c r="K16" i="13"/>
  <c r="G16" i="13"/>
  <c r="H16" i="13" s="1"/>
  <c r="E16" i="13"/>
  <c r="M15" i="13"/>
  <c r="K15" i="13"/>
  <c r="G15" i="13"/>
  <c r="H15" i="13" s="1"/>
  <c r="E15" i="13"/>
  <c r="M14" i="13"/>
  <c r="K14" i="13"/>
  <c r="G14" i="13"/>
  <c r="H14" i="13" s="1"/>
  <c r="E14" i="13"/>
  <c r="M13" i="13"/>
  <c r="K13" i="13"/>
  <c r="G13" i="13"/>
  <c r="H13" i="13" s="1"/>
  <c r="E13" i="13"/>
  <c r="M12" i="13"/>
  <c r="K12" i="13"/>
  <c r="G12" i="13"/>
  <c r="H12" i="13" s="1"/>
  <c r="E12" i="13"/>
  <c r="M11" i="13"/>
  <c r="K11" i="13"/>
  <c r="G11" i="13"/>
  <c r="H11" i="13" s="1"/>
  <c r="E11" i="13"/>
  <c r="M10" i="13"/>
  <c r="K10" i="13"/>
  <c r="G10" i="13"/>
  <c r="H10" i="13" s="1"/>
  <c r="E10" i="13"/>
  <c r="M9" i="13"/>
  <c r="K9" i="13"/>
  <c r="G9" i="13"/>
  <c r="H9" i="13" s="1"/>
  <c r="E9" i="13"/>
  <c r="M8" i="13"/>
  <c r="K8" i="13"/>
  <c r="G8" i="13"/>
  <c r="H8" i="13" s="1"/>
  <c r="E8" i="13"/>
  <c r="M7" i="13"/>
  <c r="K7" i="13"/>
  <c r="G7" i="13"/>
  <c r="H7" i="13" s="1"/>
  <c r="E7" i="13"/>
  <c r="M6" i="13"/>
  <c r="K6" i="13"/>
  <c r="G6" i="13"/>
  <c r="H6" i="13" s="1"/>
  <c r="E6" i="13"/>
  <c r="M5" i="13"/>
  <c r="K5" i="13"/>
  <c r="G5" i="13"/>
  <c r="H5" i="13" s="1"/>
  <c r="E5" i="13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G5" i="12"/>
  <c r="H5" i="12" s="1"/>
  <c r="L5" i="12" s="1"/>
  <c r="G6" i="12"/>
  <c r="H6" i="12" s="1"/>
  <c r="G7" i="12"/>
  <c r="H7" i="12" s="1"/>
  <c r="G8" i="12"/>
  <c r="H8" i="12" s="1"/>
  <c r="L8" i="12" s="1"/>
  <c r="G9" i="12"/>
  <c r="H9" i="12" s="1"/>
  <c r="L9" i="12" s="1"/>
  <c r="G10" i="12"/>
  <c r="H10" i="12" s="1"/>
  <c r="G11" i="12"/>
  <c r="H11" i="12" s="1"/>
  <c r="G12" i="12"/>
  <c r="H12" i="12" s="1"/>
  <c r="L12" i="12" s="1"/>
  <c r="G13" i="12"/>
  <c r="H13" i="12" s="1"/>
  <c r="L13" i="12" s="1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L20" i="12" s="1"/>
  <c r="G21" i="12"/>
  <c r="H21" i="12" s="1"/>
  <c r="L21" i="12" s="1"/>
  <c r="G22" i="12"/>
  <c r="H22" i="12" s="1"/>
  <c r="G23" i="12"/>
  <c r="H23" i="12" s="1"/>
  <c r="G24" i="12"/>
  <c r="H24" i="12" s="1"/>
  <c r="L24" i="12" s="1"/>
  <c r="G25" i="12"/>
  <c r="H25" i="12" s="1"/>
  <c r="L25" i="12" s="1"/>
  <c r="G26" i="12"/>
  <c r="H26" i="12" s="1"/>
  <c r="G27" i="12"/>
  <c r="H27" i="12" s="1"/>
  <c r="G28" i="12"/>
  <c r="H28" i="12" s="1"/>
  <c r="L28" i="12" s="1"/>
  <c r="G29" i="12"/>
  <c r="H29" i="12" s="1"/>
  <c r="L29" i="12" s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K29" i="11"/>
  <c r="G29" i="11"/>
  <c r="H29" i="11" s="1"/>
  <c r="E29" i="11"/>
  <c r="M28" i="11"/>
  <c r="K28" i="11"/>
  <c r="G28" i="11"/>
  <c r="H28" i="11" s="1"/>
  <c r="E28" i="11"/>
  <c r="M27" i="11"/>
  <c r="K27" i="11"/>
  <c r="G27" i="11"/>
  <c r="H27" i="11" s="1"/>
  <c r="E27" i="11"/>
  <c r="K26" i="11"/>
  <c r="G26" i="11"/>
  <c r="H26" i="11" s="1"/>
  <c r="E26" i="11"/>
  <c r="K25" i="11"/>
  <c r="G25" i="11"/>
  <c r="H25" i="11" s="1"/>
  <c r="E25" i="11"/>
  <c r="K24" i="11"/>
  <c r="G24" i="11"/>
  <c r="H24" i="11" s="1"/>
  <c r="E24" i="11"/>
  <c r="M23" i="11"/>
  <c r="K23" i="11"/>
  <c r="G23" i="11"/>
  <c r="H23" i="11" s="1"/>
  <c r="E23" i="11"/>
  <c r="K22" i="11"/>
  <c r="G22" i="11"/>
  <c r="H22" i="11" s="1"/>
  <c r="E22" i="11"/>
  <c r="K21" i="11"/>
  <c r="G21" i="11"/>
  <c r="H21" i="11" s="1"/>
  <c r="E21" i="11"/>
  <c r="M20" i="11"/>
  <c r="K20" i="11"/>
  <c r="G20" i="11"/>
  <c r="H20" i="11" s="1"/>
  <c r="E20" i="11"/>
  <c r="M19" i="11"/>
  <c r="K19" i="11"/>
  <c r="G19" i="11"/>
  <c r="H19" i="11" s="1"/>
  <c r="E19" i="11"/>
  <c r="K18" i="11"/>
  <c r="G18" i="11"/>
  <c r="H18" i="11" s="1"/>
  <c r="E18" i="11"/>
  <c r="K17" i="11"/>
  <c r="G17" i="11"/>
  <c r="H17" i="11" s="1"/>
  <c r="E17" i="11"/>
  <c r="K16" i="11"/>
  <c r="G16" i="11"/>
  <c r="H16" i="11" s="1"/>
  <c r="E16" i="11"/>
  <c r="M15" i="11"/>
  <c r="K15" i="11"/>
  <c r="G15" i="11"/>
  <c r="H15" i="11" s="1"/>
  <c r="E15" i="11"/>
  <c r="M14" i="11"/>
  <c r="K14" i="11"/>
  <c r="G14" i="11"/>
  <c r="H14" i="11" s="1"/>
  <c r="E14" i="11"/>
  <c r="M13" i="11"/>
  <c r="K13" i="11"/>
  <c r="G13" i="11"/>
  <c r="H13" i="11" s="1"/>
  <c r="E13" i="11"/>
  <c r="K12" i="11"/>
  <c r="G12" i="11"/>
  <c r="H12" i="11" s="1"/>
  <c r="E12" i="11"/>
  <c r="M11" i="11"/>
  <c r="K11" i="11"/>
  <c r="G11" i="11"/>
  <c r="H11" i="11" s="1"/>
  <c r="L11" i="11" s="1"/>
  <c r="M12" i="11" s="1"/>
  <c r="E11" i="11"/>
  <c r="K10" i="11"/>
  <c r="G10" i="11"/>
  <c r="H10" i="11" s="1"/>
  <c r="E10" i="11"/>
  <c r="K9" i="11"/>
  <c r="G9" i="11"/>
  <c r="H9" i="11" s="1"/>
  <c r="E9" i="11"/>
  <c r="K8" i="11"/>
  <c r="G8" i="11"/>
  <c r="H8" i="11" s="1"/>
  <c r="E8" i="11"/>
  <c r="M7" i="11"/>
  <c r="K7" i="11"/>
  <c r="G7" i="11"/>
  <c r="H7" i="11" s="1"/>
  <c r="E7" i="11"/>
  <c r="M6" i="11"/>
  <c r="K6" i="11"/>
  <c r="G6" i="11"/>
  <c r="H6" i="11" s="1"/>
  <c r="E6" i="11"/>
  <c r="K5" i="11"/>
  <c r="G5" i="11"/>
  <c r="H5" i="11" s="1"/>
  <c r="E5" i="11"/>
  <c r="L16" i="12" l="1"/>
  <c r="L31" i="13"/>
  <c r="L17" i="12"/>
  <c r="L19" i="11"/>
  <c r="M21" i="11" s="1"/>
  <c r="L20" i="11"/>
  <c r="L15" i="14"/>
  <c r="L12" i="11"/>
  <c r="L21" i="11"/>
  <c r="L26" i="11"/>
  <c r="M26" i="11" s="1"/>
  <c r="L26" i="12"/>
  <c r="L22" i="12"/>
  <c r="L18" i="12"/>
  <c r="L14" i="12"/>
  <c r="L10" i="12"/>
  <c r="L6" i="12"/>
  <c r="L12" i="14"/>
  <c r="L13" i="14"/>
  <c r="L27" i="12"/>
  <c r="L23" i="12"/>
  <c r="L19" i="12"/>
  <c r="L15" i="12"/>
  <c r="L11" i="12"/>
  <c r="L7" i="12"/>
  <c r="L31" i="12"/>
  <c r="D25" i="9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5" i="14"/>
  <c r="L6" i="14"/>
  <c r="L7" i="14"/>
  <c r="L8" i="14"/>
  <c r="L20" i="14"/>
  <c r="L21" i="14"/>
  <c r="L22" i="14"/>
  <c r="L23" i="14"/>
  <c r="L24" i="14"/>
  <c r="L9" i="11"/>
  <c r="M9" i="11" s="1"/>
  <c r="L17" i="11"/>
  <c r="M17" i="11" s="1"/>
  <c r="L23" i="11"/>
  <c r="M24" i="11" s="1"/>
  <c r="L24" i="11"/>
  <c r="L9" i="14"/>
  <c r="L17" i="14"/>
  <c r="L25" i="14"/>
  <c r="L10" i="14"/>
  <c r="L11" i="14"/>
  <c r="L18" i="14"/>
  <c r="L19" i="14"/>
  <c r="L26" i="14"/>
  <c r="L27" i="14"/>
  <c r="L31" i="14"/>
  <c r="D46" i="9"/>
  <c r="L5" i="11"/>
  <c r="L6" i="11"/>
  <c r="L7" i="11"/>
  <c r="L8" i="11"/>
  <c r="L13" i="11"/>
  <c r="L14" i="11"/>
  <c r="L15" i="11"/>
  <c r="L16" i="11"/>
  <c r="L22" i="11"/>
  <c r="M22" i="11" s="1"/>
  <c r="L27" i="11"/>
  <c r="M29" i="11" s="1"/>
  <c r="L28" i="11"/>
  <c r="L29" i="11"/>
  <c r="L31" i="11"/>
  <c r="L10" i="11"/>
  <c r="M10" i="11" s="1"/>
  <c r="L18" i="11"/>
  <c r="M18" i="11" s="1"/>
  <c r="L25" i="11"/>
  <c r="M25" i="11" s="1"/>
  <c r="L31" i="10"/>
  <c r="M8" i="11"/>
  <c r="M16" i="11"/>
  <c r="L32" i="12" l="1"/>
  <c r="D12" i="9" s="1"/>
  <c r="D27" i="9"/>
  <c r="E6" i="4" s="1"/>
  <c r="L32" i="14"/>
  <c r="D14" i="9" s="1"/>
  <c r="L32" i="13"/>
  <c r="D13" i="9" s="1"/>
  <c r="D45" i="9"/>
  <c r="L32" i="11"/>
  <c r="D11" i="9" s="1"/>
  <c r="M5" i="11"/>
  <c r="D44" i="9"/>
  <c r="L32" i="10"/>
  <c r="D10" i="9" l="1"/>
  <c r="D18" i="9" s="1"/>
  <c r="E5" i="4" s="1"/>
  <c r="D31" i="9"/>
  <c r="D47" i="9"/>
  <c r="D26" i="9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5" i="7"/>
  <c r="E4" i="4" l="1"/>
  <c r="E8" i="4" s="1"/>
  <c r="E9" i="4" s="1"/>
  <c r="C25" i="7"/>
  <c r="F25" i="7"/>
  <c r="C17" i="7"/>
  <c r="F17" i="7"/>
  <c r="C5" i="7"/>
  <c r="F5" i="7"/>
  <c r="C21" i="7"/>
  <c r="F21" i="7"/>
  <c r="C13" i="7"/>
  <c r="F13" i="7"/>
  <c r="C9" i="7"/>
  <c r="F9" i="7"/>
  <c r="C28" i="7"/>
  <c r="F28" i="7"/>
  <c r="E20" i="7"/>
  <c r="F20" i="7"/>
  <c r="C16" i="7"/>
  <c r="F16" i="7"/>
  <c r="C8" i="7"/>
  <c r="F8" i="7"/>
  <c r="E27" i="7"/>
  <c r="F27" i="7"/>
  <c r="C23" i="7"/>
  <c r="F23" i="7"/>
  <c r="E19" i="7"/>
  <c r="F19" i="7"/>
  <c r="C15" i="7"/>
  <c r="F15" i="7"/>
  <c r="E11" i="7"/>
  <c r="F11" i="7"/>
  <c r="C7" i="7"/>
  <c r="F7" i="7"/>
  <c r="C24" i="7"/>
  <c r="F24" i="7"/>
  <c r="E12" i="7"/>
  <c r="F12" i="7"/>
  <c r="C26" i="7"/>
  <c r="F26" i="7"/>
  <c r="C22" i="7"/>
  <c r="F22" i="7"/>
  <c r="C18" i="7"/>
  <c r="F18" i="7"/>
  <c r="C14" i="7"/>
  <c r="F14" i="7"/>
  <c r="C10" i="7"/>
  <c r="F10" i="7"/>
  <c r="C6" i="7"/>
  <c r="F6" i="7"/>
  <c r="C20" i="7"/>
  <c r="C12" i="7"/>
  <c r="E16" i="7"/>
  <c r="E28" i="7"/>
  <c r="E24" i="7"/>
  <c r="E8" i="7"/>
  <c r="C27" i="7"/>
  <c r="C19" i="7"/>
  <c r="C11" i="7"/>
  <c r="E23" i="7"/>
  <c r="E15" i="7"/>
  <c r="E7" i="7"/>
  <c r="G7" i="7" s="1"/>
  <c r="H7" i="7" s="1"/>
  <c r="E26" i="7"/>
  <c r="E22" i="7"/>
  <c r="E18" i="7"/>
  <c r="E14" i="7"/>
  <c r="E10" i="7"/>
  <c r="E6" i="7"/>
  <c r="E25" i="7"/>
  <c r="E21" i="7"/>
  <c r="G21" i="7" s="1"/>
  <c r="H21" i="7" s="1"/>
  <c r="E17" i="7"/>
  <c r="E13" i="7"/>
  <c r="E9" i="7"/>
  <c r="E5" i="7"/>
  <c r="G5" i="7" s="1"/>
  <c r="H5" i="7" s="1"/>
  <c r="I29" i="6"/>
  <c r="E12" i="4" s="1"/>
  <c r="G14" i="7" l="1"/>
  <c r="H14" i="7" s="1"/>
  <c r="G28" i="7"/>
  <c r="H28" i="7" s="1"/>
  <c r="G13" i="7"/>
  <c r="H13" i="7" s="1"/>
  <c r="G25" i="7"/>
  <c r="H25" i="7" s="1"/>
  <c r="G9" i="7"/>
  <c r="H9" i="7" s="1"/>
  <c r="G18" i="7"/>
  <c r="H18" i="7" s="1"/>
  <c r="G15" i="7"/>
  <c r="H15" i="7" s="1"/>
  <c r="G16" i="7"/>
  <c r="H16" i="7" s="1"/>
  <c r="G12" i="7"/>
  <c r="H12" i="7" s="1"/>
  <c r="G20" i="7"/>
  <c r="H20" i="7" s="1"/>
  <c r="G22" i="7"/>
  <c r="H22" i="7" s="1"/>
  <c r="G6" i="7"/>
  <c r="H6" i="7" s="1"/>
  <c r="G23" i="7"/>
  <c r="H23" i="7" s="1"/>
  <c r="G8" i="7"/>
  <c r="H8" i="7" s="1"/>
  <c r="G17" i="7"/>
  <c r="H17" i="7" s="1"/>
  <c r="G10" i="7"/>
  <c r="H10" i="7" s="1"/>
  <c r="G26" i="7"/>
  <c r="H26" i="7" s="1"/>
  <c r="G24" i="7"/>
  <c r="H24" i="7" s="1"/>
  <c r="G11" i="7"/>
  <c r="H11" i="7" s="1"/>
  <c r="G19" i="7"/>
  <c r="H19" i="7" s="1"/>
  <c r="G27" i="7"/>
  <c r="H27" i="7" s="1"/>
  <c r="G32" i="2"/>
  <c r="G21" i="2"/>
  <c r="G14" i="2"/>
  <c r="G6" i="2" l="1"/>
  <c r="G31" i="2" s="1"/>
  <c r="G33" i="2" l="1"/>
  <c r="E13" i="4"/>
  <c r="E11" i="4" s="1"/>
  <c r="E15" i="4" s="1"/>
  <c r="E21" i="4" s="1"/>
  <c r="E23" i="4" s="1"/>
  <c r="E25" i="4" s="1"/>
</calcChain>
</file>

<file path=xl/sharedStrings.xml><?xml version="1.0" encoding="utf-8"?>
<sst xmlns="http://schemas.openxmlformats.org/spreadsheetml/2006/main" count="364" uniqueCount="156">
  <si>
    <t>Resultados</t>
  </si>
  <si>
    <t>Manutenção de Equipamentos</t>
  </si>
  <si>
    <t>Funcionários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</si>
  <si>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</si>
  <si>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</si>
  <si>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</si>
  <si>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</si>
  <si>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</si>
  <si>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</si>
  <si>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</si>
  <si>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</si>
  <si>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Vales (Refeição, Transporte)</t>
  </si>
  <si>
    <t>Escritório Advocacia</t>
  </si>
  <si>
    <t>Entregas</t>
  </si>
  <si>
    <t>Bonificações</t>
  </si>
  <si>
    <t>Marketing</t>
  </si>
  <si>
    <t>Informática</t>
  </si>
  <si>
    <t>Escritório Contábil</t>
  </si>
  <si>
    <t>Compras Mercadorias</t>
  </si>
  <si>
    <t>Investimentos</t>
  </si>
  <si>
    <t>Controle de Estoque</t>
  </si>
  <si>
    <t>Arroz</t>
  </si>
  <si>
    <t>Feijão</t>
  </si>
  <si>
    <t>Tomate</t>
  </si>
  <si>
    <t>Alface</t>
  </si>
  <si>
    <t>Carne</t>
  </si>
  <si>
    <t>Frango</t>
  </si>
  <si>
    <t>Queijo</t>
  </si>
  <si>
    <t>Peixe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</si>
  <si>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</si>
  <si>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</si>
  <si>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</si>
  <si>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</si>
  <si>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</si>
  <si>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</si>
  <si>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</si>
  <si>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</si>
  <si>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Investimento Inicial</t>
  </si>
  <si>
    <t>Caixa de Fósforo</t>
  </si>
  <si>
    <t>Bala</t>
  </si>
  <si>
    <t>Chocolate</t>
  </si>
  <si>
    <t>Cigarro</t>
  </si>
  <si>
    <t>Barra de Cereal</t>
  </si>
  <si>
    <t>Despesas Funcionamento</t>
  </si>
  <si>
    <t>Serviços Terceirizados</t>
  </si>
  <si>
    <t>Água</t>
  </si>
  <si>
    <t>Energia</t>
  </si>
  <si>
    <t>Gás</t>
  </si>
  <si>
    <t>Telefone</t>
  </si>
  <si>
    <t>Valor Intermediário</t>
  </si>
  <si>
    <t>Valor Final</t>
  </si>
  <si>
    <t>Total de Despesas Fixas</t>
  </si>
  <si>
    <t>Compra de Mercadorias</t>
  </si>
  <si>
    <t>Total de Despesas</t>
  </si>
  <si>
    <t>Itens Despesas</t>
  </si>
  <si>
    <t>Despesas</t>
  </si>
  <si>
    <t>Férias, Licença Maternidade</t>
  </si>
  <si>
    <t>Mercadoria</t>
  </si>
  <si>
    <t>Quantidade</t>
  </si>
  <si>
    <t>Preço Unitário</t>
  </si>
  <si>
    <t>Desconto</t>
  </si>
  <si>
    <t>Produtos</t>
  </si>
  <si>
    <t>Id da Venda</t>
  </si>
  <si>
    <t>SubTotal</t>
  </si>
  <si>
    <t>Total</t>
  </si>
  <si>
    <t>Entrega</t>
  </si>
  <si>
    <t>Data</t>
  </si>
  <si>
    <t>Fornecedor</t>
  </si>
  <si>
    <t>Fornecedor de Verduras</t>
  </si>
  <si>
    <t>Fornecedor de Legumes</t>
  </si>
  <si>
    <t>Fornecedor de Carne</t>
  </si>
  <si>
    <t>Fornecedor de Bebidas</t>
  </si>
  <si>
    <t>Fornecedor de Cigarro</t>
  </si>
  <si>
    <t>Fornecedor de Grãos e Sementes</t>
  </si>
  <si>
    <t>Padaria</t>
  </si>
  <si>
    <t>Fornecedor de Doces</t>
  </si>
  <si>
    <t>Fornecedor de Frango</t>
  </si>
  <si>
    <t>Fornecedor de Peixe</t>
  </si>
  <si>
    <t>Preço de Compra Unitário</t>
  </si>
  <si>
    <t>Preço de Venda Unitário</t>
  </si>
  <si>
    <t>Unidade</t>
  </si>
  <si>
    <t>Kg</t>
  </si>
  <si>
    <t>Pacote</t>
  </si>
  <si>
    <t>Lata</t>
  </si>
  <si>
    <t>Barra</t>
  </si>
  <si>
    <t>Litro</t>
  </si>
  <si>
    <t>Garrafa</t>
  </si>
  <si>
    <t>Preço Pago</t>
  </si>
  <si>
    <t>Maço</t>
  </si>
  <si>
    <t>Refrigerante</t>
  </si>
  <si>
    <t>Pão de Forma</t>
  </si>
  <si>
    <t>Leite</t>
  </si>
  <si>
    <t>Medida</t>
  </si>
  <si>
    <t>Produto</t>
  </si>
  <si>
    <t>Quantidade Atual</t>
  </si>
  <si>
    <t>Data da última compra</t>
  </si>
  <si>
    <t>Quantidade Comprada</t>
  </si>
  <si>
    <t>Quantidade Vendida</t>
  </si>
  <si>
    <t>Quantidade Inicial</t>
  </si>
  <si>
    <t>Situação</t>
  </si>
  <si>
    <t>Regiões de Entrega</t>
  </si>
  <si>
    <t>Zona Norte</t>
  </si>
  <si>
    <t>Centro</t>
  </si>
  <si>
    <t>Zona Oeste</t>
  </si>
  <si>
    <t>Zona Sul</t>
  </si>
  <si>
    <t>Preço</t>
  </si>
  <si>
    <t>Loja</t>
  </si>
  <si>
    <t>Valor da Entrega</t>
  </si>
  <si>
    <t>Data da Venda</t>
  </si>
  <si>
    <t>Vendas Semana 1</t>
  </si>
  <si>
    <t>Total Entregas</t>
  </si>
  <si>
    <t>Total Cliente</t>
  </si>
  <si>
    <t>Vendas Semana 2</t>
  </si>
  <si>
    <t>Vendas Semana 3</t>
  </si>
  <si>
    <t>Vendas Semana 4</t>
  </si>
  <si>
    <t>Vendas Semana 5</t>
  </si>
  <si>
    <t>Total venda Semana 1</t>
  </si>
  <si>
    <t>Total venda Semana 2</t>
  </si>
  <si>
    <t>Total venda Semana 3</t>
  </si>
  <si>
    <t>Total venda Semana 4</t>
  </si>
  <si>
    <t>Total venda Semana 5</t>
  </si>
  <si>
    <t>Ticket Médio</t>
  </si>
  <si>
    <t>Divisão de Clientes por Região</t>
  </si>
  <si>
    <t>Total Geral</t>
  </si>
  <si>
    <t>Soma de Total</t>
  </si>
  <si>
    <t>Soma de Valor da Entrega</t>
  </si>
  <si>
    <t>(vazio)</t>
  </si>
  <si>
    <t>Soma de Quantidade</t>
  </si>
  <si>
    <t>Agosto</t>
  </si>
  <si>
    <t>Total de Vendas do Mês</t>
  </si>
  <si>
    <t>Vendas por Entrega (%)</t>
  </si>
  <si>
    <t>Vendas por Entrega ($)</t>
  </si>
  <si>
    <t>Receita de Entregas ($)</t>
  </si>
  <si>
    <t>Total Vendas na Semana</t>
  </si>
  <si>
    <t>Número de Vendas na Semana</t>
  </si>
  <si>
    <t>Número de Clientes</t>
  </si>
  <si>
    <t>Observação</t>
  </si>
  <si>
    <t>Investimento</t>
  </si>
  <si>
    <t>Valor</t>
  </si>
  <si>
    <t>Descrição</t>
  </si>
  <si>
    <t>Equipamentos</t>
  </si>
  <si>
    <t>Estrutura</t>
  </si>
  <si>
    <t>Documentação, Sistema de Informação, Estrutura Inicial, Sistema de Refrigeração, Equipamentos (caixas, balanças, carrinhos, etc)</t>
  </si>
  <si>
    <t>Total de Receitas</t>
  </si>
  <si>
    <t>Receita Mercadorias</t>
  </si>
  <si>
    <t>Receita Entregas</t>
  </si>
  <si>
    <t>Depreciação e Amortização</t>
  </si>
  <si>
    <t>Imposto</t>
  </si>
  <si>
    <t>Custo Mercadorias Vendidas</t>
  </si>
  <si>
    <t>Resultado Bruto</t>
  </si>
  <si>
    <t>Resultado Líquido</t>
  </si>
  <si>
    <t>Resultado antes de Imposto</t>
  </si>
  <si>
    <t>Imposto sobre Receita</t>
  </si>
  <si>
    <t>Total Investido</t>
  </si>
  <si>
    <t>Dia</t>
  </si>
  <si>
    <t>Localização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</si>
</sst>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ck">
        <color theme="9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44" fontId="0" fillId="0" borderId="0" xfId="1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0" fillId="2" borderId="0" xfId="0" applyFill="1"/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4" fontId="0" fillId="0" borderId="0" xfId="0" applyNumberFormat="1"/>
    <xf numFmtId="9" fontId="0" fillId="0" borderId="0" xfId="2" applyFont="1"/>
    <xf numFmtId="0" fontId="0" fillId="0" borderId="0" xfId="1" applyNumberFormat="1" applyFont="1"/>
    <xf numFmtId="44" fontId="3" fillId="0" borderId="2" xfId="1" applyFont="1" applyBorder="1" applyAlignment="1"/>
    <xf numFmtId="44" fontId="3" fillId="0" borderId="2" xfId="1" applyFont="1" applyBorder="1"/>
    <xf numFmtId="0" fontId="5" fillId="0" borderId="0" xfId="0" applyFont="1"/>
    <xf numFmtId="0" fontId="4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/>
    <xf numFmtId="14" fontId="0" fillId="0" borderId="4" xfId="0" applyNumberFormat="1" applyBorder="1"/>
    <xf numFmtId="0" fontId="6" fillId="0" borderId="6" xfId="0" applyFont="1" applyBorder="1"/>
    <xf numFmtId="44" fontId="6" fillId="0" borderId="6" xfId="1" applyFont="1" applyBorder="1" applyAlignment="1"/>
    <xf numFmtId="44" fontId="6" fillId="0" borderId="6" xfId="1" applyFont="1" applyBorder="1"/>
    <xf numFmtId="0" fontId="6" fillId="0" borderId="7" xfId="0" applyFont="1" applyBorder="1"/>
    <xf numFmtId="0" fontId="0" fillId="0" borderId="7" xfId="0" applyBorder="1"/>
    <xf numFmtId="44" fontId="6" fillId="0" borderId="7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164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0" fillId="0" borderId="13" xfId="0" applyBorder="1"/>
    <xf numFmtId="0" fontId="6" fillId="0" borderId="14" xfId="0" applyFont="1" applyBorder="1" applyAlignment="1">
      <alignment horizontal="right"/>
    </xf>
    <xf numFmtId="0" fontId="7" fillId="0" borderId="0" xfId="0" applyFont="1"/>
    <xf numFmtId="0" fontId="8" fillId="0" borderId="6" xfId="0" applyFont="1" applyBorder="1"/>
    <xf numFmtId="44" fontId="8" fillId="0" borderId="6" xfId="0" applyNumberFormat="1" applyFont="1" applyBorder="1"/>
    <xf numFmtId="0" fontId="8" fillId="0" borderId="5" xfId="0" applyFont="1" applyBorder="1"/>
    <xf numFmtId="44" fontId="8" fillId="0" borderId="5" xfId="0" applyNumberFormat="1" applyFont="1" applyBorder="1"/>
    <xf numFmtId="0" fontId="8" fillId="0" borderId="7" xfId="0" applyFont="1" applyBorder="1"/>
    <xf numFmtId="44" fontId="8" fillId="0" borderId="7" xfId="0" applyNumberFormat="1" applyFont="1" applyBorder="1"/>
    <xf numFmtId="0" fontId="9" fillId="0" borderId="0" xfId="0" applyFont="1"/>
    <xf numFmtId="44" fontId="9" fillId="0" borderId="0" xfId="0" applyNumberFormat="1" applyFont="1"/>
    <xf numFmtId="0" fontId="6" fillId="0" borderId="7" xfId="1" applyNumberFormat="1" applyFont="1" applyBorder="1"/>
    <xf numFmtId="9" fontId="8" fillId="0" borderId="6" xfId="2" applyFont="1" applyBorder="1"/>
    <xf numFmtId="44" fontId="3" fillId="0" borderId="1" xfId="1" applyFont="1" applyBorder="1" applyAlignment="1"/>
    <xf numFmtId="44" fontId="3" fillId="0" borderId="3" xfId="0" applyNumberFormat="1" applyFont="1" applyBorder="1"/>
    <xf numFmtId="0" fontId="0" fillId="0" borderId="0" xfId="0" applyAlignment="1">
      <alignment wrapText="1"/>
    </xf>
    <xf numFmtId="0" fontId="10" fillId="0" borderId="2" xfId="0" applyFont="1" applyBorder="1"/>
    <xf numFmtId="0" fontId="11" fillId="0" borderId="0" xfId="0" applyFont="1"/>
    <xf numFmtId="44" fontId="11" fillId="0" borderId="0" xfId="1" applyFont="1"/>
    <xf numFmtId="0" fontId="11" fillId="0" borderId="15" xfId="0" applyFont="1" applyBorder="1"/>
    <xf numFmtId="44" fontId="11" fillId="0" borderId="15" xfId="1" applyFont="1" applyBorder="1"/>
    <xf numFmtId="0" fontId="11" fillId="0" borderId="16" xfId="0" applyFont="1" applyBorder="1"/>
    <xf numFmtId="44" fontId="11" fillId="0" borderId="16" xfId="1" applyFont="1" applyBorder="1"/>
    <xf numFmtId="44" fontId="11" fillId="0" borderId="15" xfId="0" applyNumberFormat="1" applyFont="1" applyBorder="1"/>
    <xf numFmtId="0" fontId="11" fillId="0" borderId="17" xfId="0" applyFont="1" applyBorder="1"/>
    <xf numFmtId="44" fontId="11" fillId="0" borderId="17" xfId="1" applyFont="1" applyBorder="1"/>
    <xf numFmtId="0" fontId="11" fillId="0" borderId="18" xfId="0" applyFont="1" applyBorder="1"/>
    <xf numFmtId="44" fontId="11" fillId="0" borderId="18" xfId="1" applyFont="1" applyBorder="1"/>
    <xf numFmtId="0" fontId="0" fillId="0" borderId="0" xfId="0" applyNumberFormat="1"/>
    <xf numFmtId="44" fontId="0" fillId="0" borderId="0" xfId="1" applyNumberFormat="1" applyFont="1"/>
  </cellXfs>
  <cellStyles count="3">
    <cellStyle name="Moeda" xfId="1" builtinId="4"/>
    <cellStyle name="Normal" xfId="0" builtinId="0"/>
    <cellStyle name="Porcentagem" xfId="2" builtinId="5"/>
  </cellStyles>
  <dxfs count="47">
    <dxf>
      <font>
        <color theme="9"/>
      </font>
      <fill>
        <patternFill>
          <bgColor theme="9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Vendas!$C$10:$C$14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613.91881999999976</c:v>
                </c:pt>
                <c:pt idx="1">
                  <c:v>2.1849999999999996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4-4C67-854A-104EB32A2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308160"/>
        <c:axId val="760820752"/>
      </c:barChart>
      <c:catAx>
        <c:axId val="47130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20752"/>
        <c:crosses val="autoZero"/>
        <c:auto val="1"/>
        <c:lblAlgn val="ctr"/>
        <c:lblOffset val="100"/>
        <c:noMultiLvlLbl val="0"/>
      </c:catAx>
      <c:valAx>
        <c:axId val="7608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13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EB-49F2-966A-2786B247F5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EB-49F2-966A-2786B247F5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EB-49F2-966A-2786B247F5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EB-49F2-966A-2786B247F5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EB-49F2-966A-2786B247F5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Vendas!$C$43:$C$47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Vendas!$D$43:$D$47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EB-49F2-966A-2786B247F5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Vendas!$C$26:$C$27</c:f>
              <c:strCache>
                <c:ptCount val="2"/>
                <c:pt idx="0">
                  <c:v>Vendas por Entrega ($)</c:v>
                </c:pt>
                <c:pt idx="1">
                  <c:v>Receita de Entregas ($)</c:v>
                </c:pt>
              </c:strCache>
            </c:strRef>
          </c:cat>
          <c:val>
            <c:numRef>
              <c:f>Vendas!$D$26:$D$27</c:f>
              <c:numCache>
                <c:formatCode>_("R$"* #,##0.00_);_("R$"* \(#,##0.00\);_("R$"* "-"??_);_(@_)</c:formatCode>
                <c:ptCount val="2"/>
                <c:pt idx="0">
                  <c:v>311.15982000000002</c:v>
                </c:pt>
                <c:pt idx="1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6-4DAF-BD52-A5B672834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0806608"/>
        <c:axId val="760813136"/>
      </c:barChart>
      <c:catAx>
        <c:axId val="760806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13136"/>
        <c:crosses val="autoZero"/>
        <c:auto val="1"/>
        <c:lblAlgn val="ctr"/>
        <c:lblOffset val="100"/>
        <c:noMultiLvlLbl val="0"/>
      </c:catAx>
      <c:valAx>
        <c:axId val="76081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g"/><Relationship Id="rId5" Type="http://schemas.openxmlformats.org/officeDocument/2006/relationships/hyperlink" Target="#Resultados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mpras Mercadori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Despesas!A1"/><Relationship Id="rId1" Type="http://schemas.openxmlformats.org/officeDocument/2006/relationships/hyperlink" Target="#'Controle de Estoqu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Compras Mercadorias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Despes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2'!A1"/><Relationship Id="rId3" Type="http://schemas.openxmlformats.org/officeDocument/2006/relationships/chart" Target="../charts/chart3.xml"/><Relationship Id="rId7" Type="http://schemas.openxmlformats.org/officeDocument/2006/relationships/hyperlink" Target="#'Sem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5'!A1"/><Relationship Id="rId5" Type="http://schemas.openxmlformats.org/officeDocument/2006/relationships/hyperlink" Target="#Vendas!B53"/><Relationship Id="rId10" Type="http://schemas.openxmlformats.org/officeDocument/2006/relationships/hyperlink" Target="#'Sem4'!A1"/><Relationship Id="rId4" Type="http://schemas.openxmlformats.org/officeDocument/2006/relationships/hyperlink" Target="#Resultados!A1"/><Relationship Id="rId9" Type="http://schemas.openxmlformats.org/officeDocument/2006/relationships/hyperlink" Target="#'Sem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An&#225;lise Sem1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An&#225;lise Sem2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550" b="11550"/>
        <a:stretch/>
      </xdr:blipFill>
      <xdr:spPr>
        <a:xfrm>
          <a:off x="0" y="0"/>
          <a:ext cx="12644368" cy="54959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1</xdr:col>
      <xdr:colOff>276225</xdr:colOff>
      <xdr:row>22</xdr:row>
      <xdr:rowOff>66675</xdr:rowOff>
    </xdr:from>
    <xdr:to>
      <xdr:col>4</xdr:col>
      <xdr:colOff>400050</xdr:colOff>
      <xdr:row>24</xdr:row>
      <xdr:rowOff>133350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582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561975</xdr:colOff>
      <xdr:row>22</xdr:row>
      <xdr:rowOff>66675</xdr:rowOff>
    </xdr:from>
    <xdr:to>
      <xdr:col>8</xdr:col>
      <xdr:colOff>76200</xdr:colOff>
      <xdr:row>24</xdr:row>
      <xdr:rowOff>133350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003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Compras Mercadorias</a:t>
          </a:r>
        </a:p>
      </xdr:txBody>
    </xdr:sp>
    <xdr:clientData/>
  </xdr:twoCellAnchor>
  <xdr:twoCellAnchor>
    <xdr:from>
      <xdr:col>8</xdr:col>
      <xdr:colOff>247650</xdr:colOff>
      <xdr:row>22</xdr:row>
      <xdr:rowOff>66675</xdr:rowOff>
    </xdr:from>
    <xdr:to>
      <xdr:col>11</xdr:col>
      <xdr:colOff>371475</xdr:colOff>
      <xdr:row>24</xdr:row>
      <xdr:rowOff>133350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124450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11</xdr:col>
      <xdr:colOff>523875</xdr:colOff>
      <xdr:row>22</xdr:row>
      <xdr:rowOff>66675</xdr:rowOff>
    </xdr:from>
    <xdr:to>
      <xdr:col>15</xdr:col>
      <xdr:colOff>38100</xdr:colOff>
      <xdr:row>24</xdr:row>
      <xdr:rowOff>133350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2294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Vendas</a:t>
          </a:r>
        </a:p>
      </xdr:txBody>
    </xdr:sp>
    <xdr:clientData/>
  </xdr:twoCellAnchor>
  <xdr:twoCellAnchor>
    <xdr:from>
      <xdr:col>15</xdr:col>
      <xdr:colOff>219075</xdr:colOff>
      <xdr:row>22</xdr:row>
      <xdr:rowOff>66675</xdr:rowOff>
    </xdr:from>
    <xdr:to>
      <xdr:col>18</xdr:col>
      <xdr:colOff>342900</xdr:colOff>
      <xdr:row>24</xdr:row>
      <xdr:rowOff>133350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3630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</xdr:row>
      <xdr:rowOff>47625</xdr:rowOff>
    </xdr:from>
    <xdr:to>
      <xdr:col>4</xdr:col>
      <xdr:colOff>1962150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723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Compras Mercadorias</a:t>
          </a:r>
        </a:p>
      </xdr:txBody>
    </xdr:sp>
    <xdr:clientData/>
  </xdr:twoCellAnchor>
  <xdr:twoCellAnchor>
    <xdr:from>
      <xdr:col>5</xdr:col>
      <xdr:colOff>95250</xdr:colOff>
      <xdr:row>1</xdr:row>
      <xdr:rowOff>47625</xdr:rowOff>
    </xdr:from>
    <xdr:to>
      <xdr:col>6</xdr:col>
      <xdr:colOff>142875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5344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6</xdr:col>
      <xdr:colOff>247650</xdr:colOff>
      <xdr:row>1</xdr:row>
      <xdr:rowOff>47625</xdr:rowOff>
    </xdr:from>
    <xdr:to>
      <xdr:col>7</xdr:col>
      <xdr:colOff>361950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08697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3</xdr:row>
      <xdr:rowOff>38100</xdr:rowOff>
    </xdr:from>
    <xdr:to>
      <xdr:col>11</xdr:col>
      <xdr:colOff>9525</xdr:colOff>
      <xdr:row>5</xdr:row>
      <xdr:rowOff>19050</xdr:rowOff>
    </xdr:to>
    <xdr:sp macro="[0]!inserir_compr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229975" y="1095375"/>
          <a:ext cx="10668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Compra</a:t>
          </a:r>
        </a:p>
      </xdr:txBody>
    </xdr:sp>
    <xdr:clientData/>
  </xdr:twoCellAnchor>
  <xdr:twoCellAnchor>
    <xdr:from>
      <xdr:col>6</xdr:col>
      <xdr:colOff>781050</xdr:colOff>
      <xdr:row>1</xdr:row>
      <xdr:rowOff>38100</xdr:rowOff>
    </xdr:from>
    <xdr:to>
      <xdr:col>7</xdr:col>
      <xdr:colOff>1152525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866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8</xdr:col>
      <xdr:colOff>95250</xdr:colOff>
      <xdr:row>1</xdr:row>
      <xdr:rowOff>38100</xdr:rowOff>
    </xdr:from>
    <xdr:to>
      <xdr:col>8</xdr:col>
      <xdr:colOff>1543050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2487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>
    <xdr:from>
      <xdr:col>9</xdr:col>
      <xdr:colOff>76200</xdr:colOff>
      <xdr:row>1</xdr:row>
      <xdr:rowOff>38100</xdr:rowOff>
    </xdr:from>
    <xdr:to>
      <xdr:col>10</xdr:col>
      <xdr:colOff>571500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80135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1190625</xdr:colOff>
      <xdr:row>1</xdr:row>
      <xdr:rowOff>38100</xdr:rowOff>
    </xdr:from>
    <xdr:to>
      <xdr:col>6</xdr:col>
      <xdr:colOff>1104900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4771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Compras</a:t>
          </a:r>
          <a:r>
            <a:rPr lang="pt-BR" sz="1100" u="none" baseline="0">
              <a:ln>
                <a:noFill/>
              </a:ln>
              <a:solidFill>
                <a:schemeClr val="bg1"/>
              </a:solidFill>
            </a:rPr>
            <a:t> Mercadorias</a:t>
          </a:r>
          <a:endParaRPr lang="pt-BR" sz="1100" u="none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1219200</xdr:colOff>
      <xdr:row>1</xdr:row>
      <xdr:rowOff>38100</xdr:rowOff>
    </xdr:from>
    <xdr:to>
      <xdr:col>8</xdr:col>
      <xdr:colOff>714375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0392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8</xdr:col>
      <xdr:colOff>819150</xdr:colOff>
      <xdr:row>1</xdr:row>
      <xdr:rowOff>38100</xdr:rowOff>
    </xdr:from>
    <xdr:to>
      <xdr:col>10</xdr:col>
      <xdr:colOff>542925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5918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3876675</xdr:colOff>
      <xdr:row>1</xdr:row>
      <xdr:rowOff>47625</xdr:rowOff>
    </xdr:from>
    <xdr:to>
      <xdr:col>3</xdr:col>
      <xdr:colOff>5324475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97255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4</xdr:col>
      <xdr:colOff>76200</xdr:colOff>
      <xdr:row>1</xdr:row>
      <xdr:rowOff>47625</xdr:rowOff>
    </xdr:from>
    <xdr:to>
      <xdr:col>5</xdr:col>
      <xdr:colOff>95250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52512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38100</xdr:rowOff>
    </xdr:from>
    <xdr:to>
      <xdr:col>4</xdr:col>
      <xdr:colOff>1790700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73437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1905000</xdr:colOff>
      <xdr:row>1</xdr:row>
      <xdr:rowOff>38100</xdr:rowOff>
    </xdr:from>
    <xdr:to>
      <xdr:col>6</xdr:col>
      <xdr:colOff>419100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890587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523875</xdr:colOff>
      <xdr:row>1</xdr:row>
      <xdr:rowOff>38100</xdr:rowOff>
    </xdr:from>
    <xdr:to>
      <xdr:col>9</xdr:col>
      <xdr:colOff>142875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7346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5</xdr:row>
      <xdr:rowOff>171450</xdr:rowOff>
    </xdr:from>
    <xdr:to>
      <xdr:col>10</xdr:col>
      <xdr:colOff>1104900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36</xdr:row>
      <xdr:rowOff>47624</xdr:rowOff>
    </xdr:from>
    <xdr:to>
      <xdr:col>10</xdr:col>
      <xdr:colOff>876300</xdr:colOff>
      <xdr:row>49</xdr:row>
      <xdr:rowOff>129597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742949</xdr:colOff>
      <xdr:row>22</xdr:row>
      <xdr:rowOff>74604</xdr:rowOff>
    </xdr:from>
    <xdr:to>
      <xdr:col>10</xdr:col>
      <xdr:colOff>1114425</xdr:colOff>
      <xdr:row>33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628650</xdr:colOff>
      <xdr:row>1</xdr:row>
      <xdr:rowOff>47625</xdr:rowOff>
    </xdr:from>
    <xdr:to>
      <xdr:col>8</xdr:col>
      <xdr:colOff>133350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751522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8</xdr:col>
      <xdr:colOff>247650</xdr:colOff>
      <xdr:row>1</xdr:row>
      <xdr:rowOff>47625</xdr:rowOff>
    </xdr:from>
    <xdr:to>
      <xdr:col>9</xdr:col>
      <xdr:colOff>828675</xdr:colOff>
      <xdr:row>1</xdr:row>
      <xdr:rowOff>314325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93345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Ir para Semana</a:t>
          </a:r>
        </a:p>
      </xdr:txBody>
    </xdr:sp>
    <xdr:clientData/>
  </xdr:twoCellAnchor>
  <xdr:twoCellAnchor>
    <xdr:from>
      <xdr:col>9</xdr:col>
      <xdr:colOff>933450</xdr:colOff>
      <xdr:row>1</xdr:row>
      <xdr:rowOff>47625</xdr:rowOff>
    </xdr:from>
    <xdr:to>
      <xdr:col>11</xdr:col>
      <xdr:colOff>0</xdr:colOff>
      <xdr:row>1</xdr:row>
      <xdr:rowOff>314325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088707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2</xdr:col>
      <xdr:colOff>657225</xdr:colOff>
      <xdr:row>51</xdr:row>
      <xdr:rowOff>47625</xdr:rowOff>
    </xdr:from>
    <xdr:to>
      <xdr:col>3</xdr:col>
      <xdr:colOff>228600</xdr:colOff>
      <xdr:row>52</xdr:row>
      <xdr:rowOff>123825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771775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1</a:t>
          </a:r>
        </a:p>
      </xdr:txBody>
    </xdr:sp>
    <xdr:clientData/>
  </xdr:twoCellAnchor>
  <xdr:twoCellAnchor>
    <xdr:from>
      <xdr:col>3</xdr:col>
      <xdr:colOff>342900</xdr:colOff>
      <xdr:row>51</xdr:row>
      <xdr:rowOff>47625</xdr:rowOff>
    </xdr:from>
    <xdr:to>
      <xdr:col>4</xdr:col>
      <xdr:colOff>552450</xdr:colOff>
      <xdr:row>52</xdr:row>
      <xdr:rowOff>123825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33875" y="11087100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2</a:t>
          </a:r>
        </a:p>
      </xdr:txBody>
    </xdr:sp>
    <xdr:clientData/>
  </xdr:twoCellAnchor>
  <xdr:twoCellAnchor>
    <xdr:from>
      <xdr:col>5</xdr:col>
      <xdr:colOff>66675</xdr:colOff>
      <xdr:row>51</xdr:row>
      <xdr:rowOff>47625</xdr:rowOff>
    </xdr:from>
    <xdr:to>
      <xdr:col>6</xdr:col>
      <xdr:colOff>723900</xdr:colOff>
      <xdr:row>52</xdr:row>
      <xdr:rowOff>123825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162675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3</a:t>
          </a:r>
        </a:p>
      </xdr:txBody>
    </xdr:sp>
    <xdr:clientData/>
  </xdr:twoCellAnchor>
  <xdr:twoCellAnchor>
    <xdr:from>
      <xdr:col>6</xdr:col>
      <xdr:colOff>847725</xdr:colOff>
      <xdr:row>51</xdr:row>
      <xdr:rowOff>47625</xdr:rowOff>
    </xdr:from>
    <xdr:to>
      <xdr:col>8</xdr:col>
      <xdr:colOff>628650</xdr:colOff>
      <xdr:row>52</xdr:row>
      <xdr:rowOff>123825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734300" y="11087100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4</a:t>
          </a:r>
        </a:p>
      </xdr:txBody>
    </xdr:sp>
    <xdr:clientData/>
  </xdr:twoCellAnchor>
  <xdr:twoCellAnchor>
    <xdr:from>
      <xdr:col>8</xdr:col>
      <xdr:colOff>733425</xdr:colOff>
      <xdr:row>51</xdr:row>
      <xdr:rowOff>47625</xdr:rowOff>
    </xdr:from>
    <xdr:to>
      <xdr:col>9</xdr:col>
      <xdr:colOff>1038225</xdr:colOff>
      <xdr:row>52</xdr:row>
      <xdr:rowOff>123825</xdr:rowOff>
    </xdr:to>
    <xdr:sp macro="" textlink="">
      <xdr:nvSpPr>
        <xdr:cNvPr id="12" name="Retâ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9563100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6</xdr:col>
      <xdr:colOff>1066800</xdr:colOff>
      <xdr:row>1</xdr:row>
      <xdr:rowOff>38100</xdr:rowOff>
    </xdr:from>
    <xdr:to>
      <xdr:col>8</xdr:col>
      <xdr:colOff>571500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5533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Análise Semana</a:t>
          </a:r>
        </a:p>
      </xdr:txBody>
    </xdr:sp>
    <xdr:clientData/>
  </xdr:twoCellAnchor>
  <xdr:twoCellAnchor>
    <xdr:from>
      <xdr:col>8</xdr:col>
      <xdr:colOff>685800</xdr:colOff>
      <xdr:row>1</xdr:row>
      <xdr:rowOff>38100</xdr:rowOff>
    </xdr:from>
    <xdr:to>
      <xdr:col>10</xdr:col>
      <xdr:colOff>352425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11542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457200</xdr:colOff>
      <xdr:row>1</xdr:row>
      <xdr:rowOff>38100</xdr:rowOff>
    </xdr:from>
    <xdr:to>
      <xdr:col>11</xdr:col>
      <xdr:colOff>714375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09442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171451</xdr:colOff>
      <xdr:row>8</xdr:row>
      <xdr:rowOff>38100</xdr:rowOff>
    </xdr:from>
    <xdr:to>
      <xdr:col>0</xdr:col>
      <xdr:colOff>1238251</xdr:colOff>
      <xdr:row>10</xdr:row>
      <xdr:rowOff>19050</xdr:rowOff>
    </xdr:to>
    <xdr:sp macro="[0]!excluir_registr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71451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</xdr:row>
      <xdr:rowOff>114300</xdr:rowOff>
    </xdr:from>
    <xdr:to>
      <xdr:col>7</xdr:col>
      <xdr:colOff>295275</xdr:colOff>
      <xdr:row>3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677025" y="3048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6</xdr:col>
      <xdr:colOff>981075</xdr:colOff>
      <xdr:row>1</xdr:row>
      <xdr:rowOff>38100</xdr:rowOff>
    </xdr:from>
    <xdr:to>
      <xdr:col>8</xdr:col>
      <xdr:colOff>485775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4676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Análise Semana</a:t>
          </a:r>
        </a:p>
      </xdr:txBody>
    </xdr:sp>
    <xdr:clientData/>
  </xdr:twoCellAnchor>
  <xdr:twoCellAnchor>
    <xdr:from>
      <xdr:col>8</xdr:col>
      <xdr:colOff>600075</xdr:colOff>
      <xdr:row>1</xdr:row>
      <xdr:rowOff>38100</xdr:rowOff>
    </xdr:from>
    <xdr:to>
      <xdr:col>10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902970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371475</xdr:colOff>
      <xdr:row>1</xdr:row>
      <xdr:rowOff>38100</xdr:rowOff>
    </xdr:from>
    <xdr:to>
      <xdr:col>11</xdr:col>
      <xdr:colOff>628650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08585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171450</xdr:colOff>
      <xdr:row>8</xdr:row>
      <xdr:rowOff>66675</xdr:rowOff>
    </xdr:from>
    <xdr:to>
      <xdr:col>0</xdr:col>
      <xdr:colOff>1238250</xdr:colOff>
      <xdr:row>10</xdr:row>
      <xdr:rowOff>47625</xdr:rowOff>
    </xdr:to>
    <xdr:sp macro="[0]!excluir_registr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1450" y="197167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9525</xdr:rowOff>
    </xdr:from>
    <xdr:to>
      <xdr:col>8</xdr:col>
      <xdr:colOff>523875</xdr:colOff>
      <xdr:row>3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248400" y="390525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552450</xdr:colOff>
      <xdr:row>1</xdr:row>
      <xdr:rowOff>38100</xdr:rowOff>
    </xdr:from>
    <xdr:to>
      <xdr:col>10</xdr:col>
      <xdr:colOff>219075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8207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323850</xdr:colOff>
      <xdr:row>1</xdr:row>
      <xdr:rowOff>38100</xdr:rowOff>
    </xdr:from>
    <xdr:to>
      <xdr:col>11</xdr:col>
      <xdr:colOff>581025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08108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1247775</xdr:colOff>
      <xdr:row>10</xdr:row>
      <xdr:rowOff>19050</xdr:rowOff>
    </xdr:to>
    <xdr:sp macro="[0]!excluir_registr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80975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428625</xdr:colOff>
      <xdr:row>1</xdr:row>
      <xdr:rowOff>38100</xdr:rowOff>
    </xdr:from>
    <xdr:to>
      <xdr:col>10</xdr:col>
      <xdr:colOff>95250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885825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200025</xdr:colOff>
      <xdr:row>1</xdr:row>
      <xdr:rowOff>38100</xdr:rowOff>
    </xdr:from>
    <xdr:to>
      <xdr:col>11</xdr:col>
      <xdr:colOff>457200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068705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28575</xdr:rowOff>
    </xdr:from>
    <xdr:to>
      <xdr:col>0</xdr:col>
      <xdr:colOff>1247775</xdr:colOff>
      <xdr:row>10</xdr:row>
      <xdr:rowOff>9525</xdr:rowOff>
    </xdr:to>
    <xdr:sp macro="[0]!excluir_registr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180975" y="193357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257175</xdr:colOff>
      <xdr:row>1</xdr:row>
      <xdr:rowOff>38100</xdr:rowOff>
    </xdr:from>
    <xdr:to>
      <xdr:col>9</xdr:col>
      <xdr:colOff>1114425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868680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28575</xdr:colOff>
      <xdr:row>1</xdr:row>
      <xdr:rowOff>38100</xdr:rowOff>
    </xdr:from>
    <xdr:to>
      <xdr:col>11</xdr:col>
      <xdr:colOff>285750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05156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1247775</xdr:colOff>
      <xdr:row>10</xdr:row>
      <xdr:rowOff>19050</xdr:rowOff>
    </xdr:to>
    <xdr:sp macro="[0]!excluir_registr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80975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2188.540209375002" createdVersion="5" refreshedVersion="5" minRefreshableVersion="3" recordCount="25" xr:uid="{00000000-000A-0000-FFFF-FFFF00000000}">
  <cacheSource type="worksheet">
    <worksheetSource name="Tabela46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4260000000000004" maxValue="23.827999999999999"/>
    </cacheField>
    <cacheField name="SubTotal" numFmtId="44">
      <sharedItems containsSemiMixedTypes="0" containsString="0" containsNumber="1" minValue="0.74260000000000004" maxValue="144.69"/>
    </cacheField>
    <cacheField name="Desconto" numFmtId="9">
      <sharedItems containsString="0" containsBlank="1" containsNumber="1" minValue="0.05" maxValue="0.05"/>
    </cacheField>
    <cacheField name="Entrega" numFmtId="0">
      <sharedItems containsBlank="1" count="5">
        <s v="Zona Sul"/>
        <s v="Loja"/>
        <s v="Zona Norte"/>
        <s v="Zona Oeste"/>
        <m u="1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4260000000000004" maxValue="137.4555"/>
    </cacheField>
    <cacheField name="Total Cliente" numFmtId="44">
      <sharedItems containsMixedTypes="1" containsNumber="1" minValue="2.1023999999999998" maxValue="203.2128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2188.54325023148" createdVersion="5" refreshedVersion="5" minRefreshableVersion="3" recordCount="25" xr:uid="{00000000-000A-0000-FFFF-FFFF01000000}">
  <cacheSource type="worksheet">
    <worksheetSource name="Tabela47"/>
  </cacheSource>
  <cacheFields count="12">
    <cacheField name="Id da Venda" numFmtId="0">
      <sharedItems containsString="0" containsBlank="1" containsNumber="1" containsInteger="1" minValue="1" maxValue="1"/>
    </cacheField>
    <cacheField name="Data da Vend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s" numFmtId="0">
      <sharedItems containsBlank="1" count="2">
        <s v="Barra de Cereal"/>
        <m/>
      </sharedItems>
    </cacheField>
    <cacheField name="Unidade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0924999999999998"/>
    </cacheField>
    <cacheField name="SubTotal" numFmtId="44">
      <sharedItems containsSemiMixedTypes="0" containsString="0" containsNumber="1" minValue="0" maxValue="2.1849999999999996"/>
    </cacheField>
    <cacheField name="Desconto" numFmtId="9">
      <sharedItems containsNonDate="0" containsString="0" containsBlank="1"/>
    </cacheField>
    <cacheField name="Entrega" numFmtId="0">
      <sharedItems containsBlank="1" count="2">
        <s v="Loja"/>
        <m/>
      </sharedItems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1849999999999996"/>
    </cacheField>
    <cacheField name="Total Cliente" numFmtId="44">
      <sharedItems containsMixedTypes="1" containsNumber="1" minValue="2.1849999999999996" maxValue="2.184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n v="13"/>
    <x v="0"/>
    <x v="0"/>
    <s v="Pacote"/>
    <n v="10"/>
    <n v="1.0580000000000001"/>
    <n v="10.58"/>
    <m/>
    <x v="0"/>
    <n v="0"/>
    <n v="10.58"/>
    <s v=""/>
  </r>
  <r>
    <n v="13"/>
    <x v="0"/>
    <x v="1"/>
    <s v="Pacote"/>
    <n v="1"/>
    <n v="0.74260000000000004"/>
    <n v="0.74260000000000004"/>
    <m/>
    <x v="0"/>
    <n v="0"/>
    <n v="0.74260000000000004"/>
    <s v=""/>
  </r>
  <r>
    <n v="13"/>
    <x v="0"/>
    <x v="2"/>
    <s v="Kg"/>
    <n v="10"/>
    <n v="14.469000000000001"/>
    <n v="144.69"/>
    <n v="0.05"/>
    <x v="0"/>
    <n v="0"/>
    <n v="137.4555"/>
    <s v=""/>
  </r>
  <r>
    <n v="13"/>
    <x v="0"/>
    <x v="3"/>
    <s v="Lata"/>
    <n v="24"/>
    <n v="2.1023999999999998"/>
    <n v="50.457599999999999"/>
    <n v="0.05"/>
    <x v="0"/>
    <n v="6.5"/>
    <n v="54.434719999999999"/>
    <n v="203.21281999999999"/>
  </r>
  <r>
    <n v="12"/>
    <x v="1"/>
    <x v="3"/>
    <s v="Lata"/>
    <n v="1"/>
    <n v="2.1023999999999998"/>
    <n v="2.1023999999999998"/>
    <m/>
    <x v="1"/>
    <n v="0"/>
    <n v="2.1023999999999998"/>
    <n v="2.1023999999999998"/>
  </r>
  <r>
    <n v="11"/>
    <x v="1"/>
    <x v="3"/>
    <s v="Lata"/>
    <n v="10"/>
    <n v="2.1023999999999998"/>
    <n v="21.023999999999997"/>
    <m/>
    <x v="1"/>
    <n v="0"/>
    <n v="21.023999999999997"/>
    <n v="21.023999999999997"/>
  </r>
  <r>
    <n v="10"/>
    <x v="1"/>
    <x v="4"/>
    <s v="Kg"/>
    <n v="6"/>
    <n v="4.0659999999999998"/>
    <n v="24.396000000000001"/>
    <m/>
    <x v="1"/>
    <n v="0"/>
    <n v="24.396000000000001"/>
    <s v=""/>
  </r>
  <r>
    <n v="10"/>
    <x v="1"/>
    <x v="5"/>
    <s v="Litro"/>
    <n v="4"/>
    <n v="2.1749000000000001"/>
    <n v="8.6996000000000002"/>
    <m/>
    <x v="1"/>
    <n v="0"/>
    <n v="8.6996000000000002"/>
    <n v="33.095600000000005"/>
  </r>
  <r>
    <n v="9"/>
    <x v="2"/>
    <x v="6"/>
    <s v="Unidade"/>
    <n v="5"/>
    <n v="2.6299000000000001"/>
    <n v="13.1495"/>
    <m/>
    <x v="1"/>
    <n v="0"/>
    <n v="13.1495"/>
    <s v=""/>
  </r>
  <r>
    <n v="9"/>
    <x v="2"/>
    <x v="7"/>
    <s v="Kg"/>
    <n v="2"/>
    <n v="9.1009999999999991"/>
    <n v="18.201999999999998"/>
    <m/>
    <x v="1"/>
    <n v="0"/>
    <n v="18.201999999999998"/>
    <s v=""/>
  </r>
  <r>
    <n v="9"/>
    <x v="2"/>
    <x v="8"/>
    <s v="Kg"/>
    <n v="1.5"/>
    <n v="23.827999999999999"/>
    <n v="35.741999999999997"/>
    <m/>
    <x v="1"/>
    <n v="0"/>
    <n v="35.741999999999997"/>
    <s v=""/>
  </r>
  <r>
    <n v="9"/>
    <x v="2"/>
    <x v="4"/>
    <s v="Kg"/>
    <n v="4"/>
    <n v="4.0659999999999998"/>
    <n v="16.263999999999999"/>
    <m/>
    <x v="1"/>
    <n v="0"/>
    <n v="16.263999999999999"/>
    <n v="83.357499999999987"/>
  </r>
  <r>
    <n v="8"/>
    <x v="2"/>
    <x v="3"/>
    <s v="Lata"/>
    <n v="20"/>
    <n v="2.1023999999999998"/>
    <n v="42.047999999999995"/>
    <n v="0.05"/>
    <x v="0"/>
    <n v="6.5"/>
    <n v="46.445599999999992"/>
    <n v="46.445599999999992"/>
  </r>
  <r>
    <n v="7"/>
    <x v="2"/>
    <x v="3"/>
    <s v="Lata"/>
    <n v="20"/>
    <n v="2.1023999999999998"/>
    <n v="42.047999999999995"/>
    <n v="0.05"/>
    <x v="1"/>
    <n v="0"/>
    <n v="39.945599999999992"/>
    <n v="39.945599999999992"/>
  </r>
  <r>
    <n v="6"/>
    <x v="2"/>
    <x v="1"/>
    <s v="Pacote"/>
    <n v="2"/>
    <n v="0.74260000000000004"/>
    <n v="1.4852000000000001"/>
    <m/>
    <x v="1"/>
    <n v="0"/>
    <n v="1.4852000000000001"/>
    <s v=""/>
  </r>
  <r>
    <n v="6"/>
    <x v="2"/>
    <x v="2"/>
    <s v="Kg"/>
    <n v="6"/>
    <n v="14.469000000000001"/>
    <n v="86.814000000000007"/>
    <m/>
    <x v="1"/>
    <n v="0"/>
    <n v="86.814000000000007"/>
    <s v=""/>
  </r>
  <r>
    <n v="6"/>
    <x v="2"/>
    <x v="3"/>
    <s v="Lata"/>
    <n v="12"/>
    <n v="2.1023999999999998"/>
    <n v="25.2288"/>
    <m/>
    <x v="1"/>
    <n v="0"/>
    <n v="25.2288"/>
    <n v="113.52800000000002"/>
  </r>
  <r>
    <n v="5"/>
    <x v="3"/>
    <x v="9"/>
    <s v="Unidade"/>
    <n v="3"/>
    <n v="2.8405"/>
    <n v="8.5214999999999996"/>
    <m/>
    <x v="0"/>
    <n v="6.5"/>
    <n v="15.0215"/>
    <n v="15.0215"/>
  </r>
  <r>
    <n v="4"/>
    <x v="3"/>
    <x v="10"/>
    <s v="Pacote"/>
    <n v="2"/>
    <n v="1.8506999999999998"/>
    <n v="3.7013999999999996"/>
    <m/>
    <x v="2"/>
    <n v="0"/>
    <n v="3.7013999999999996"/>
    <s v=""/>
  </r>
  <r>
    <n v="4"/>
    <x v="3"/>
    <x v="11"/>
    <s v="Kg"/>
    <n v="5"/>
    <n v="2.3406000000000002"/>
    <n v="11.703000000000001"/>
    <m/>
    <x v="2"/>
    <n v="6.5"/>
    <n v="18.203000000000003"/>
    <n v="21.904400000000003"/>
  </r>
  <r>
    <n v="3"/>
    <x v="3"/>
    <x v="12"/>
    <s v="Litro"/>
    <n v="6"/>
    <n v="1.3708"/>
    <n v="8.2248000000000001"/>
    <m/>
    <x v="3"/>
    <n v="8"/>
    <n v="16.224800000000002"/>
    <n v="16.224800000000002"/>
  </r>
  <r>
    <n v="2"/>
    <x v="3"/>
    <x v="10"/>
    <s v="Pacote"/>
    <n v="1"/>
    <n v="1.8506999999999998"/>
    <n v="1.8506999999999998"/>
    <m/>
    <x v="2"/>
    <n v="6.5"/>
    <n v="8.3506999999999998"/>
    <n v="8.3506999999999998"/>
  </r>
  <r>
    <n v="1"/>
    <x v="3"/>
    <x v="11"/>
    <s v="Kg"/>
    <n v="2"/>
    <n v="2.3406000000000002"/>
    <n v="4.6812000000000005"/>
    <m/>
    <x v="1"/>
    <n v="0"/>
    <n v="4.6812000000000005"/>
    <s v=""/>
  </r>
  <r>
    <n v="1"/>
    <x v="3"/>
    <x v="0"/>
    <s v="Pacote"/>
    <n v="3"/>
    <n v="1.0580000000000001"/>
    <n v="3.1740000000000004"/>
    <m/>
    <x v="1"/>
    <n v="0"/>
    <n v="3.1740000000000004"/>
    <s v=""/>
  </r>
  <r>
    <n v="1"/>
    <x v="3"/>
    <x v="10"/>
    <s v="Pacote"/>
    <n v="1"/>
    <n v="1.8506999999999998"/>
    <n v="1.8506999999999998"/>
    <m/>
    <x v="1"/>
    <n v="0"/>
    <n v="1.8506999999999998"/>
    <n v="9.7058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">
  <r>
    <n v="1"/>
    <x v="0"/>
    <x v="0"/>
    <s v="Pacote"/>
    <n v="2"/>
    <n v="1.0924999999999998"/>
    <n v="2.1849999999999996"/>
    <m/>
    <x v="0"/>
    <n v="0"/>
    <n v="2.1849999999999996"/>
    <n v="2.1849999999999996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Dia">
  <location ref="A3:C8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Localização">
  <location ref="A18:D23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2"/>
        <item sd="0" x="3"/>
        <item sd="0" x="0"/>
        <item m="1" x="4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a Entrega" fld="9" baseField="8" baseItem="0" numFmtId="44"/>
    <dataField name="Soma de Total" fld="10" baseField="8" baseItem="0" numFmtId="164"/>
    <dataField name="Soma de Quantidad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Dia">
  <location ref="A3:C6" firstHeaderRow="0" firstDataRow="1" firstDataCol="1"/>
  <pivotFields count="12">
    <pivotField showAll="0"/>
    <pivotField axis="axisRow" numFmtId="14" showAll="0">
      <items count="3">
        <item x="1"/>
        <item x="0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Localização">
  <location ref="A18:D23" firstHeaderRow="0" firstDataRow="1" firstDataCol="1"/>
  <pivotFields count="12">
    <pivotField showAll="0"/>
    <pivotField numFmtId="14" showAll="0"/>
    <pivotField axis="axisRow" showAll="0">
      <items count="3">
        <item x="1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1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a Entrega" fld="9" baseField="8" baseItem="0" numFmtId="44"/>
    <dataField name="Soma de Total" fld="10" baseField="8" baseItem="0" numFmtId="164"/>
    <dataField name="Soma de Quantidad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4:G29" totalsRowShown="0">
  <autoFilter ref="B4:G29" xr:uid="{00000000-0009-0000-0100-000001000000}"/>
  <tableColumns count="6">
    <tableColumn id="1" xr3:uid="{00000000-0010-0000-0000-000001000000}" name="Despesas Funcionamento"/>
    <tableColumn id="2" xr3:uid="{00000000-0010-0000-0000-000002000000}" name="Itens Despesas"/>
    <tableColumn id="4" xr3:uid="{00000000-0010-0000-0000-000004000000}" name="Data"/>
    <tableColumn id="3" xr3:uid="{00000000-0010-0000-0000-000003000000}" name="Observação"/>
    <tableColumn id="6" xr3:uid="{00000000-0010-0000-0000-000006000000}" name="Valor Intermediário" dataCellStyle="Moeda"/>
    <tableColumn id="7" xr3:uid="{00000000-0010-0000-0000-000007000000}" name="Valor Final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I27" totalsRowShown="0">
  <autoFilter ref="B4:I27" xr:uid="{00000000-0009-0000-0100-000002000000}"/>
  <sortState xmlns:xlrd2="http://schemas.microsoft.com/office/spreadsheetml/2017/richdata2" ref="B5:I27">
    <sortCondition descending="1" ref="B7"/>
  </sortState>
  <tableColumns count="8">
    <tableColumn id="1" xr3:uid="{00000000-0010-0000-0100-000001000000}" name="Data" dataDxfId="46"/>
    <tableColumn id="2" xr3:uid="{00000000-0010-0000-0100-000002000000}" name="Fornecedor"/>
    <tableColumn id="3" xr3:uid="{00000000-0010-0000-0100-000003000000}" name="Mercadoria"/>
    <tableColumn id="8" xr3:uid="{00000000-0010-0000-0100-000008000000}" name="Unidade" dataDxfId="45">
      <calculatedColumnFormula>IFERROR(VLOOKUP(Tabela2[[#This Row],[Mercadoria]],cálculos!$I$3:$L$26,4,0),"")</calculatedColumnFormula>
    </tableColumn>
    <tableColumn id="4" xr3:uid="{00000000-0010-0000-0100-000004000000}" name="Quantidade"/>
    <tableColumn id="5" xr3:uid="{00000000-0010-0000-0100-000005000000}" name="Preço Unitário" dataDxfId="44" dataCellStyle="Moeda">
      <calculatedColumnFormula>IFERROR(VLOOKUP(Tabela2[[#This Row],[Mercadoria]],cálculos!$I$3:$K$26,2,0),0)</calculatedColumnFormula>
    </tableColumn>
    <tableColumn id="6" xr3:uid="{00000000-0010-0000-0100-000006000000}" name="Desconto" dataCellStyle="Porcentagem"/>
    <tableColumn id="7" xr3:uid="{00000000-0010-0000-0100-000007000000}" name="Preço Pago" dataDxfId="43" dataCellStyle="Moeda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4:H28" totalsRowShown="0">
  <autoFilter ref="B4:H28" xr:uid="{00000000-0009-0000-0100-000003000000}"/>
  <tableColumns count="7">
    <tableColumn id="1" xr3:uid="{00000000-0010-0000-0200-000001000000}" name="Produto">
      <calculatedColumnFormula>cálculos!I3</calculatedColumnFormula>
    </tableColumn>
    <tableColumn id="2" xr3:uid="{00000000-0010-0000-0200-000002000000}" name="Data da última compra" dataDxfId="42">
      <calculatedColumnFormula>IFERROR(INDEX(Tabela2[],MATCH(Tabela3[[#This Row],[Produto]],Tabela2[Mercadoria],0),1),"")</calculatedColumnFormula>
    </tableColumn>
    <tableColumn id="3" xr3:uid="{00000000-0010-0000-0200-000003000000}" name="Quantidade Inicial"/>
    <tableColumn id="5" xr3:uid="{00000000-0010-0000-0200-000005000000}" name="Quantidade Comprada" dataDxfId="41">
      <calculatedColumnFormula>SUMIF(Tabela2[Mercadoria],Tabela3[[#This Row],[Produto]],Tabela2[Quantidade])</calculatedColumnFormula>
    </tableColumn>
    <tableColumn id="4" xr3:uid="{00000000-0010-0000-0200-000004000000}" name="Quantidade Vendida" dataDxfId="40">
      <calculatedColumnFormula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calculatedColumnFormula>
    </tableColumn>
    <tableColumn id="6" xr3:uid="{00000000-0010-0000-0200-000006000000}" name="Quantidade Atual" dataDxfId="39">
      <calculatedColumnFormula>Tabela3[[#This Row],[Quantidade Inicial]]+Tabela3[[#This Row],[Quantidade Comprada]]-Tabela3[[#This Row],[Quantidade Vendida]]</calculatedColumnFormula>
    </tableColumn>
    <tableColumn id="7" xr3:uid="{00000000-0010-0000-0200-000007000000}" name="Situação" dataDxfId="38">
      <calculatedColumnFormula>IF(Tabela3[[#This Row],[Quantidade Atual]]&lt;50,IF(Tabela3[[#This Row],[Quantidade Atual]]&lt;20,"Comprar","Atenção"),"OK")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B4:E9" totalsRowShown="0">
  <autoFilter ref="B4:E9" xr:uid="{00000000-0009-0000-0100-000004000000}"/>
  <tableColumns count="4">
    <tableColumn id="1" xr3:uid="{00000000-0010-0000-0300-000001000000}" name="Investimento"/>
    <tableColumn id="2" xr3:uid="{00000000-0010-0000-0300-000002000000}" name="Data"/>
    <tableColumn id="5" xr3:uid="{00000000-0010-0000-0300-000005000000}" name="Descrição" dataDxfId="37"/>
    <tableColumn id="4" xr3:uid="{00000000-0010-0000-0300-000004000000}" name="Valor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46" displayName="Tabela46" ref="B4:M29" totalsRowShown="0">
  <autoFilter ref="B4:M29" xr:uid="{00000000-0009-0000-0100-000005000000}"/>
  <sortState xmlns:xlrd2="http://schemas.microsoft.com/office/spreadsheetml/2017/richdata2" ref="B5:L26">
    <sortCondition descending="1" ref="B5"/>
  </sortState>
  <tableColumns count="12">
    <tableColumn id="1" xr3:uid="{00000000-0010-0000-0400-000001000000}" name="Id da Venda"/>
    <tableColumn id="12" xr3:uid="{00000000-0010-0000-0400-00000C000000}" name="Data da Venda" dataDxfId="36"/>
    <tableColumn id="3" xr3:uid="{00000000-0010-0000-0400-000003000000}" name="Produtos"/>
    <tableColumn id="11" xr3:uid="{00000000-0010-0000-0400-00000B000000}" name="Unidade" dataDxfId="35">
      <calculatedColumnFormula>IFERROR(VLOOKUP(Tabela46[[#This Row],[Produtos]],cálculos!$I$3:$L$26,4,0),"")</calculatedColumnFormula>
    </tableColumn>
    <tableColumn id="4" xr3:uid="{00000000-0010-0000-0400-000004000000}" name="Quantidade"/>
    <tableColumn id="5" xr3:uid="{00000000-0010-0000-0400-000005000000}" name="Preço Unitário" dataCellStyle="Moeda">
      <calculatedColumnFormula>IFERROR(VLOOKUP(Tabela46[[#This Row],[Produtos]],cálculos!$I$3:$L$26,2,0),0)</calculatedColumnFormula>
    </tableColumn>
    <tableColumn id="6" xr3:uid="{00000000-0010-0000-0400-000006000000}" name="SubTotal" dataCellStyle="Moeda">
      <calculatedColumnFormula>Tabela46[[#This Row],[Preço Unitário]]*Tabela46[[#This Row],[Quantidade]]</calculatedColumnFormula>
    </tableColumn>
    <tableColumn id="7" xr3:uid="{00000000-0010-0000-0400-000007000000}" name="Desconto" dataCellStyle="Porcentagem"/>
    <tableColumn id="8" xr3:uid="{00000000-0010-0000-0400-000008000000}" name="Entrega"/>
    <tableColumn id="10" xr3:uid="{00000000-0010-0000-0400-00000A000000}" name="Valor da Entrega" dataDxfId="34" dataCellStyle="Moeda">
      <calculatedColumnFormula>IFERROR(IF(Tabela46[[#This Row],[Id da Venda]]=B6,0,VLOOKUP(Tabela46[[#This Row],[Entrega]],cálculos!$B$3:$C$7,2,0)),0)</calculatedColumnFormula>
    </tableColumn>
    <tableColumn id="9" xr3:uid="{00000000-0010-0000-0400-000009000000}" name="Total" dataDxfId="33" dataCellStyle="Moeda">
      <calculatedColumnFormula>Tabela46[[#This Row],[SubTotal]]*(1-Tabela46[[#This Row],[Desconto]])+Tabela46[[#This Row],[Valor da Entrega]]</calculatedColumnFormula>
    </tableColumn>
    <tableColumn id="13" xr3:uid="{00000000-0010-0000-0400-00000D000000}" name="Total Cliente" dataDxfId="32" dataCellStyle="Moeda">
      <calculatedColumnFormula>IF(Tabela46[[#This Row],[Id da Venda]]=B6,"",SUMIF(Tabela46[Id da Venda],Tabela46[[#This Row],[Id da Venda]],Tabela46[Total]))</calculatedColumnFormula>
    </tableColumn>
  </tableColumns>
  <tableStyleInfo name="TableStyleMedium7" showFirstColumn="0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47" displayName="Tabela47" ref="B4:M29" totalsRowShown="0">
  <autoFilter ref="B4:M29" xr:uid="{00000000-0009-0000-0100-000006000000}"/>
  <sortState xmlns:xlrd2="http://schemas.microsoft.com/office/spreadsheetml/2017/richdata2" ref="B5:L26">
    <sortCondition descending="1" ref="B5"/>
  </sortState>
  <tableColumns count="12">
    <tableColumn id="1" xr3:uid="{00000000-0010-0000-0500-000001000000}" name="Id da Venda"/>
    <tableColumn id="12" xr3:uid="{00000000-0010-0000-0500-00000C000000}" name="Data da Venda" dataDxfId="31"/>
    <tableColumn id="3" xr3:uid="{00000000-0010-0000-0500-000003000000}" name="Produtos"/>
    <tableColumn id="11" xr3:uid="{00000000-0010-0000-0500-00000B000000}" name="Unidade" dataDxfId="30">
      <calculatedColumnFormula>IFERROR(VLOOKUP(Tabela47[[#This Row],[Produtos]],cálculos!$I$3:$L$26,4,0),"")</calculatedColumnFormula>
    </tableColumn>
    <tableColumn id="4" xr3:uid="{00000000-0010-0000-0500-000004000000}" name="Quantidade"/>
    <tableColumn id="5" xr3:uid="{00000000-0010-0000-0500-000005000000}" name="Preço Unitário" dataCellStyle="Moeda">
      <calculatedColumnFormula>IFERROR(VLOOKUP(Tabela47[[#This Row],[Produtos]],cálculos!$I$3:$L$26,2,0),0)</calculatedColumnFormula>
    </tableColumn>
    <tableColumn id="6" xr3:uid="{00000000-0010-0000-0500-000006000000}" name="SubTotal" dataCellStyle="Moeda">
      <calculatedColumnFormula>Tabela47[[#This Row],[Preço Unitário]]*Tabela47[[#This Row],[Quantidade]]</calculatedColumnFormula>
    </tableColumn>
    <tableColumn id="7" xr3:uid="{00000000-0010-0000-0500-000007000000}" name="Desconto" dataCellStyle="Porcentagem"/>
    <tableColumn id="8" xr3:uid="{00000000-0010-0000-0500-000008000000}" name="Entrega"/>
    <tableColumn id="10" xr3:uid="{00000000-0010-0000-0500-00000A000000}" name="Valor da Entrega" dataCellStyle="Moeda">
      <calculatedColumnFormula>IFERROR(VLOOKUP(Tabela47[[#This Row],[Entrega]],cálculos!$B$3:$C$7,2,0),0)</calculatedColumnFormula>
    </tableColumn>
    <tableColumn id="9" xr3:uid="{00000000-0010-0000-0500-000009000000}" name="Total" dataDxfId="29" dataCellStyle="Moeda">
      <calculatedColumnFormula>Tabela47[[#This Row],[SubTotal]]*(1-Tabela47[[#This Row],[Desconto]])+Tabela47[[#This Row],[Valor da Entrega]]</calculatedColumnFormula>
    </tableColumn>
    <tableColumn id="13" xr3:uid="{00000000-0010-0000-0500-00000D000000}" name="Total Cliente" dataDxfId="28" dataCellStyle="Moeda">
      <calculatedColumnFormula>IF(Tabela47[[#This Row],[Id da Venda]]=B6,"",SUMIF(Tabela47[Id da Venda],Tabela47[[#This Row],[Id da Venda]],Tabela47[Total]))</calculatedColumnFormula>
    </tableColumn>
  </tableColumns>
  <tableStyleInfo name="TableStyleMedium7" showFirstColumn="0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48" displayName="Tabela48" ref="B4:M29" totalsRowShown="0">
  <autoFilter ref="B4:M29" xr:uid="{00000000-0009-0000-0100-000007000000}"/>
  <sortState xmlns:xlrd2="http://schemas.microsoft.com/office/spreadsheetml/2017/richdata2" ref="B5:L26">
    <sortCondition descending="1" ref="B5"/>
  </sortState>
  <tableColumns count="12">
    <tableColumn id="1" xr3:uid="{00000000-0010-0000-0600-000001000000}" name="Id da Venda"/>
    <tableColumn id="12" xr3:uid="{00000000-0010-0000-0600-00000C000000}" name="Data da Venda" dataDxfId="27"/>
    <tableColumn id="3" xr3:uid="{00000000-0010-0000-0600-000003000000}" name="Produtos"/>
    <tableColumn id="11" xr3:uid="{00000000-0010-0000-0600-00000B000000}" name="Unidade" dataDxfId="26">
      <calculatedColumnFormula>IFERROR(VLOOKUP(Tabela48[[#This Row],[Produtos]],cálculos!$I$3:$L$26,4,0),"")</calculatedColumnFormula>
    </tableColumn>
    <tableColumn id="4" xr3:uid="{00000000-0010-0000-0600-000004000000}" name="Quantidade"/>
    <tableColumn id="5" xr3:uid="{00000000-0010-0000-0600-000005000000}" name="Preço Unitário" dataDxfId="25" dataCellStyle="Moeda">
      <calculatedColumnFormula>IFERROR(VLOOKUP(Tabela48[[#This Row],[Produtos]],cálculos!$I$3:$L$26,2,0),0)</calculatedColumnFormula>
    </tableColumn>
    <tableColumn id="6" xr3:uid="{00000000-0010-0000-0600-000006000000}" name="SubTotal" dataDxfId="24" dataCellStyle="Moeda">
      <calculatedColumnFormula>Tabela48[[#This Row],[Preço Unitário]]*Tabela48[[#This Row],[Quantidade]]</calculatedColumnFormula>
    </tableColumn>
    <tableColumn id="7" xr3:uid="{00000000-0010-0000-0600-000007000000}" name="Desconto" dataDxfId="23" dataCellStyle="Porcentagem"/>
    <tableColumn id="8" xr3:uid="{00000000-0010-0000-0600-000008000000}" name="Entrega"/>
    <tableColumn id="10" xr3:uid="{00000000-0010-0000-0600-00000A000000}" name="Valor da Entrega" dataDxfId="22" dataCellStyle="Moeda">
      <calculatedColumnFormula>IFERROR(VLOOKUP(Tabela48[[#This Row],[Entrega]],cálculos!$B$3:$C$7,2,0),0)</calculatedColumnFormula>
    </tableColumn>
    <tableColumn id="9" xr3:uid="{00000000-0010-0000-0600-000009000000}" name="Total" dataDxfId="21" dataCellStyle="Moeda">
      <calculatedColumnFormula>Tabela48[[#This Row],[SubTotal]]*(1-Tabela48[[#This Row],[Desconto]])+Tabela48[[#This Row],[Valor da Entrega]]</calculatedColumnFormula>
    </tableColumn>
    <tableColumn id="13" xr3:uid="{00000000-0010-0000-0600-00000D000000}" name="Total Cliente" dataDxfId="20" dataCellStyle="Moeda">
      <calculatedColumnFormula>IF(Tabela48[[#This Row],[Id da Venda]]=B6,"",SUMIF(Tabela48[Id da Venda],Tabela48[[#This Row],[Id da Venda]],Tabela48[Total]))</calculatedColumnFormula>
    </tableColumn>
  </tableColumns>
  <tableStyleInfo name="TableStyleMedium7" showFirstColumn="0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ela4811" displayName="Tabela4811" ref="B4:M29" totalsRowShown="0">
  <autoFilter ref="B4:M29" xr:uid="{00000000-0009-0000-0100-00000A000000}"/>
  <sortState xmlns:xlrd2="http://schemas.microsoft.com/office/spreadsheetml/2017/richdata2" ref="B5:L26">
    <sortCondition descending="1" ref="B5"/>
  </sortState>
  <tableColumns count="12">
    <tableColumn id="1" xr3:uid="{00000000-0010-0000-0700-000001000000}" name="Id da Venda"/>
    <tableColumn id="12" xr3:uid="{00000000-0010-0000-0700-00000C000000}" name="Data da Venda" dataDxfId="19"/>
    <tableColumn id="3" xr3:uid="{00000000-0010-0000-0700-000003000000}" name="Produtos"/>
    <tableColumn id="11" xr3:uid="{00000000-0010-0000-0700-00000B000000}" name="Unidade" dataDxfId="18">
      <calculatedColumnFormula>IFERROR(VLOOKUP(Tabela4811[[#This Row],[Produtos]],cálculos!$I$3:$L$26,4,0),"")</calculatedColumnFormula>
    </tableColumn>
    <tableColumn id="4" xr3:uid="{00000000-0010-0000-0700-000004000000}" name="Quantidade"/>
    <tableColumn id="5" xr3:uid="{00000000-0010-0000-0700-000005000000}" name="Preço Unitário" dataDxfId="17" dataCellStyle="Moeda">
      <calculatedColumnFormula>IFERROR(VLOOKUP(Tabela4811[[#This Row],[Produtos]],cálculos!$I$3:$L$26,2,0),0)</calculatedColumnFormula>
    </tableColumn>
    <tableColumn id="6" xr3:uid="{00000000-0010-0000-0700-000006000000}" name="SubTotal" dataDxfId="16" dataCellStyle="Moeda">
      <calculatedColumnFormula>Tabela4811[[#This Row],[Preço Unitário]]*Tabela4811[[#This Row],[Quantidade]]</calculatedColumnFormula>
    </tableColumn>
    <tableColumn id="7" xr3:uid="{00000000-0010-0000-0700-000007000000}" name="Desconto" dataDxfId="15" dataCellStyle="Porcentagem"/>
    <tableColumn id="8" xr3:uid="{00000000-0010-0000-0700-000008000000}" name="Entrega"/>
    <tableColumn id="10" xr3:uid="{00000000-0010-0000-0700-00000A000000}" name="Valor da Entrega" dataDxfId="14" dataCellStyle="Moeda">
      <calculatedColumnFormula>IFERROR(VLOOKUP(Tabela4811[[#This Row],[Entrega]],cálculos!$B$3:$C$7,2,0),0)</calculatedColumnFormula>
    </tableColumn>
    <tableColumn id="9" xr3:uid="{00000000-0010-0000-0700-000009000000}" name="Total" dataDxfId="13" dataCellStyle="Moeda">
      <calculatedColumnFormula>Tabela4811[[#This Row],[SubTotal]]*(1-Tabela4811[[#This Row],[Desconto]])+Tabela4811[[#This Row],[Valor da Entrega]]</calculatedColumnFormula>
    </tableColumn>
    <tableColumn id="13" xr3:uid="{00000000-0010-0000-0700-00000D000000}" name="Total Cliente" dataDxfId="12" dataCellStyle="Moeda">
      <calculatedColumnFormula>IF(Tabela4811[[#This Row],[Id da Venda]]=B6,"",SUMIF(Tabela4811[Id da Venda],Tabela4811[[#This Row],[Id da Venda]],Tabela4811[Total]))</calculatedColumnFormula>
    </tableColumn>
  </tableColumns>
  <tableStyleInfo name="TableStyleMedium7" showFirstColumn="0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4812" displayName="Tabela4812" ref="B4:M29" totalsRowShown="0">
  <autoFilter ref="B4:M29" xr:uid="{00000000-0009-0000-0100-00000B000000}"/>
  <sortState xmlns:xlrd2="http://schemas.microsoft.com/office/spreadsheetml/2017/richdata2" ref="B5:L26">
    <sortCondition descending="1" ref="B5"/>
  </sortState>
  <tableColumns count="12">
    <tableColumn id="1" xr3:uid="{00000000-0010-0000-0800-000001000000}" name="Id da Venda"/>
    <tableColumn id="12" xr3:uid="{00000000-0010-0000-0800-00000C000000}" name="Data da Venda" dataDxfId="11"/>
    <tableColumn id="3" xr3:uid="{00000000-0010-0000-0800-000003000000}" name="Produtos"/>
    <tableColumn id="11" xr3:uid="{00000000-0010-0000-0800-00000B000000}" name="Unidade" dataDxfId="10">
      <calculatedColumnFormula>IFERROR(VLOOKUP(Tabela4812[[#This Row],[Produtos]],cálculos!$I$3:$L$26,4,0),"")</calculatedColumnFormula>
    </tableColumn>
    <tableColumn id="4" xr3:uid="{00000000-0010-0000-0800-000004000000}" name="Quantidade"/>
    <tableColumn id="5" xr3:uid="{00000000-0010-0000-0800-000005000000}" name="Preço Unitário" dataDxfId="9" dataCellStyle="Moeda">
      <calculatedColumnFormula>IFERROR(VLOOKUP(Tabela4812[[#This Row],[Produtos]],cálculos!$I$3:$L$26,2,0),0)</calculatedColumnFormula>
    </tableColumn>
    <tableColumn id="6" xr3:uid="{00000000-0010-0000-0800-000006000000}" name="SubTotal" dataDxfId="8" dataCellStyle="Moeda">
      <calculatedColumnFormula>Tabela4812[[#This Row],[Preço Unitário]]*Tabela4812[[#This Row],[Quantidade]]</calculatedColumnFormula>
    </tableColumn>
    <tableColumn id="7" xr3:uid="{00000000-0010-0000-0800-000007000000}" name="Desconto" dataDxfId="7" dataCellStyle="Porcentagem"/>
    <tableColumn id="8" xr3:uid="{00000000-0010-0000-0800-000008000000}" name="Entrega"/>
    <tableColumn id="10" xr3:uid="{00000000-0010-0000-0800-00000A000000}" name="Valor da Entrega" dataDxfId="6" dataCellStyle="Moeda">
      <calculatedColumnFormula>IFERROR(VLOOKUP(Tabela4812[[#This Row],[Entrega]],cálculos!$B$3:$C$7,2,0),0)</calculatedColumnFormula>
    </tableColumn>
    <tableColumn id="9" xr3:uid="{00000000-0010-0000-0800-000009000000}" name="Total" dataDxfId="5" dataCellStyle="Moeda">
      <calculatedColumnFormula>Tabela4812[[#This Row],[SubTotal]]*(1-Tabela4812[[#This Row],[Desconto]])+Tabela4812[[#This Row],[Valor da Entrega]]</calculatedColumnFormula>
    </tableColumn>
    <tableColumn id="13" xr3:uid="{00000000-0010-0000-0800-00000D000000}" name="Total Cliente" dataDxfId="4" dataCellStyle="Moeda">
      <calculatedColumnFormula>IF(Tabela4812[[#This Row],[Id da Venda]]=B6,"",SUMIF(Tabela4812[Id da Venda],Tabela4812[[#This Row],[Id da Venda]],Tabela4812[Total]))</calculatedColumnFormula>
    </tableColumn>
  </tableColumns>
  <tableStyleInfo name="TableStyleMedium7" showFirstColumn="0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G33"/>
  <sheetViews>
    <sheetView showGridLines="0" workbookViewId="0"/>
  </sheetViews>
  <sheetFormatPr defaultRowHeight="14.4" x14ac:dyDescent="0.3"/>
  <cols>
    <col min="1" max="1" width="12.88671875" customWidth="1"/>
    <col min="2" max="2" width="42.44140625" bestFit="1" customWidth="1"/>
    <col min="3" max="3" width="26.5546875" bestFit="1" customWidth="1"/>
    <col min="4" max="4" width="15" customWidth="1"/>
    <col min="5" max="5" width="29.6640625" customWidth="1"/>
    <col min="6" max="6" width="21" bestFit="1" customWidth="1"/>
    <col min="7" max="7" width="20" customWidth="1"/>
  </cols>
  <sheetData>
    <row r="2" spans="2:7" s="5" customFormat="1" ht="27.9" customHeight="1" x14ac:dyDescent="0.3">
      <c r="B2" s="6" t="s">
        <v>55</v>
      </c>
      <c r="E2" s="7"/>
      <c r="F2" s="7"/>
      <c r="G2" s="7"/>
    </row>
    <row r="3" spans="2:7" ht="32.25" customHeight="1" x14ac:dyDescent="0.3"/>
    <row r="4" spans="2:7" x14ac:dyDescent="0.3">
      <c r="B4" t="s">
        <v>43</v>
      </c>
      <c r="C4" t="s">
        <v>54</v>
      </c>
      <c r="D4" t="s">
        <v>66</v>
      </c>
      <c r="E4" t="s">
        <v>136</v>
      </c>
      <c r="F4" t="s">
        <v>49</v>
      </c>
      <c r="G4" t="s">
        <v>50</v>
      </c>
    </row>
    <row r="5" spans="2:7" x14ac:dyDescent="0.3">
      <c r="B5" t="s">
        <v>5</v>
      </c>
      <c r="F5" s="1"/>
      <c r="G5" s="1">
        <v>1000</v>
      </c>
    </row>
    <row r="6" spans="2:7" x14ac:dyDescent="0.3">
      <c r="B6" t="s">
        <v>2</v>
      </c>
      <c r="F6" s="1"/>
      <c r="G6" s="1">
        <f>SUM(F7:F11)</f>
        <v>18000</v>
      </c>
    </row>
    <row r="7" spans="2:7" x14ac:dyDescent="0.3">
      <c r="C7" t="s">
        <v>10</v>
      </c>
      <c r="D7" s="8">
        <v>42129</v>
      </c>
      <c r="F7" s="1">
        <v>10000</v>
      </c>
      <c r="G7" s="1"/>
    </row>
    <row r="8" spans="2:7" x14ac:dyDescent="0.3">
      <c r="C8" t="s">
        <v>14</v>
      </c>
      <c r="D8" s="8">
        <v>42129</v>
      </c>
      <c r="F8" s="1">
        <v>500</v>
      </c>
      <c r="G8" s="1"/>
    </row>
    <row r="9" spans="2:7" x14ac:dyDescent="0.3">
      <c r="C9" t="s">
        <v>3</v>
      </c>
      <c r="D9" s="8">
        <v>42129</v>
      </c>
      <c r="F9" s="1">
        <v>3000</v>
      </c>
      <c r="G9" s="1"/>
    </row>
    <row r="10" spans="2:7" x14ac:dyDescent="0.3">
      <c r="C10" t="s">
        <v>11</v>
      </c>
      <c r="D10" s="8">
        <v>42129</v>
      </c>
      <c r="F10" s="1">
        <v>3000</v>
      </c>
      <c r="G10" s="1"/>
    </row>
    <row r="11" spans="2:7" x14ac:dyDescent="0.3">
      <c r="C11" t="s">
        <v>7</v>
      </c>
      <c r="D11" s="8">
        <v>42127</v>
      </c>
      <c r="E11" t="s">
        <v>56</v>
      </c>
      <c r="F11" s="1">
        <v>1500</v>
      </c>
      <c r="G11" s="1"/>
    </row>
    <row r="12" spans="2:7" x14ac:dyDescent="0.3">
      <c r="B12" t="s">
        <v>1</v>
      </c>
      <c r="D12" s="8">
        <v>42136</v>
      </c>
      <c r="F12" s="1"/>
      <c r="G12" s="1">
        <v>900</v>
      </c>
    </row>
    <row r="13" spans="2:7" x14ac:dyDescent="0.3">
      <c r="B13" t="s">
        <v>3</v>
      </c>
      <c r="D13" s="8">
        <v>42154</v>
      </c>
      <c r="F13" s="1"/>
      <c r="G13" s="1">
        <v>6000</v>
      </c>
    </row>
    <row r="14" spans="2:7" x14ac:dyDescent="0.3">
      <c r="B14" t="s">
        <v>43</v>
      </c>
      <c r="F14" s="1"/>
      <c r="G14" s="1">
        <f>SUM(F15:F19)</f>
        <v>5300</v>
      </c>
    </row>
    <row r="15" spans="2:7" x14ac:dyDescent="0.3">
      <c r="C15" t="s">
        <v>45</v>
      </c>
      <c r="D15" s="8">
        <v>42127</v>
      </c>
      <c r="F15" s="1">
        <v>800</v>
      </c>
      <c r="G15" s="1"/>
    </row>
    <row r="16" spans="2:7" x14ac:dyDescent="0.3">
      <c r="C16" t="s">
        <v>46</v>
      </c>
      <c r="D16" s="8">
        <v>42127</v>
      </c>
      <c r="F16" s="1">
        <v>3200</v>
      </c>
      <c r="G16" s="1"/>
    </row>
    <row r="17" spans="2:7" x14ac:dyDescent="0.3">
      <c r="C17" t="s">
        <v>47</v>
      </c>
      <c r="D17" s="8">
        <v>42127</v>
      </c>
      <c r="F17" s="1">
        <v>500</v>
      </c>
      <c r="G17" s="1"/>
    </row>
    <row r="18" spans="2:7" x14ac:dyDescent="0.3">
      <c r="C18" t="s">
        <v>48</v>
      </c>
      <c r="D18" s="8">
        <v>42127</v>
      </c>
      <c r="F18" s="1">
        <v>800</v>
      </c>
      <c r="G18" s="1"/>
    </row>
    <row r="19" spans="2:7" x14ac:dyDescent="0.3">
      <c r="C19" t="s">
        <v>7</v>
      </c>
      <c r="F19" s="1">
        <v>0</v>
      </c>
      <c r="G19" s="1"/>
    </row>
    <row r="20" spans="2:7" x14ac:dyDescent="0.3">
      <c r="B20" t="s">
        <v>4</v>
      </c>
      <c r="D20" s="8">
        <v>42149</v>
      </c>
      <c r="F20" s="1"/>
      <c r="G20" s="1">
        <v>300</v>
      </c>
    </row>
    <row r="21" spans="2:7" x14ac:dyDescent="0.3">
      <c r="B21" t="s">
        <v>44</v>
      </c>
      <c r="F21" s="1"/>
      <c r="G21" s="1">
        <f>SUM(F22:F27)</f>
        <v>11950</v>
      </c>
    </row>
    <row r="22" spans="2:7" x14ac:dyDescent="0.3">
      <c r="C22" t="s">
        <v>17</v>
      </c>
      <c r="D22" s="8">
        <v>42134</v>
      </c>
      <c r="F22" s="1">
        <v>1650</v>
      </c>
      <c r="G22" s="1"/>
    </row>
    <row r="23" spans="2:7" x14ac:dyDescent="0.3">
      <c r="C23" t="s">
        <v>12</v>
      </c>
      <c r="D23" s="8">
        <v>42134</v>
      </c>
      <c r="F23" s="1">
        <v>3000</v>
      </c>
      <c r="G23" s="1"/>
    </row>
    <row r="24" spans="2:7" x14ac:dyDescent="0.3">
      <c r="C24" t="s">
        <v>13</v>
      </c>
      <c r="D24" s="8">
        <v>42132</v>
      </c>
      <c r="F24" s="1">
        <v>3000</v>
      </c>
      <c r="G24" s="1"/>
    </row>
    <row r="25" spans="2:7" x14ac:dyDescent="0.3">
      <c r="C25" t="s">
        <v>15</v>
      </c>
      <c r="D25" s="8">
        <v>42126</v>
      </c>
      <c r="F25" s="1">
        <v>2700</v>
      </c>
      <c r="G25" s="1"/>
    </row>
    <row r="26" spans="2:7" x14ac:dyDescent="0.3">
      <c r="C26" t="s">
        <v>16</v>
      </c>
      <c r="D26" s="8">
        <v>42126</v>
      </c>
      <c r="F26" s="1">
        <v>1500</v>
      </c>
      <c r="G26" s="1"/>
    </row>
    <row r="27" spans="2:7" x14ac:dyDescent="0.3">
      <c r="C27" t="s">
        <v>7</v>
      </c>
      <c r="D27" s="8">
        <v>42126</v>
      </c>
      <c r="F27" s="1">
        <v>100</v>
      </c>
      <c r="G27" s="1"/>
    </row>
    <row r="28" spans="2:7" x14ac:dyDescent="0.3">
      <c r="B28" t="s">
        <v>6</v>
      </c>
      <c r="D28" s="8">
        <v>42126</v>
      </c>
      <c r="F28" s="1"/>
      <c r="G28" s="1">
        <v>1500</v>
      </c>
    </row>
    <row r="29" spans="2:7" x14ac:dyDescent="0.3">
      <c r="B29" t="s">
        <v>7</v>
      </c>
      <c r="F29" s="1"/>
      <c r="G29" s="1">
        <v>957</v>
      </c>
    </row>
    <row r="31" spans="2:7" ht="21" x14ac:dyDescent="0.4">
      <c r="B31" s="2" t="s">
        <v>51</v>
      </c>
      <c r="C31" s="2"/>
      <c r="D31" s="2"/>
      <c r="E31" s="2"/>
      <c r="F31" s="49"/>
      <c r="G31" s="49">
        <f>SUM(Tabela1[Valor Final])</f>
        <v>45907</v>
      </c>
    </row>
    <row r="32" spans="2:7" ht="21" x14ac:dyDescent="0.4">
      <c r="B32" s="3" t="s">
        <v>52</v>
      </c>
      <c r="C32" s="3"/>
      <c r="D32" s="3"/>
      <c r="E32" s="3"/>
      <c r="F32" s="11"/>
      <c r="G32" s="11">
        <f>'Compras Mercadorias'!I29</f>
        <v>14024.937500000002</v>
      </c>
    </row>
    <row r="33" spans="2:7" ht="21" x14ac:dyDescent="0.4">
      <c r="B33" s="4" t="s">
        <v>53</v>
      </c>
      <c r="C33" s="4"/>
      <c r="D33" s="4"/>
      <c r="E33" s="4"/>
      <c r="F33" s="50"/>
      <c r="G33" s="50">
        <f>SUM(G31:G32)</f>
        <v>59931.9375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K29"/>
  <sheetViews>
    <sheetView showGridLines="0" topLeftCell="A4" workbookViewId="0">
      <selection activeCell="B13" sqref="B13"/>
    </sheetView>
  </sheetViews>
  <sheetFormatPr defaultRowHeight="14.4" x14ac:dyDescent="0.3"/>
  <cols>
    <col min="1" max="1" width="12.6640625" customWidth="1"/>
    <col min="2" max="2" width="13.88671875" customWidth="1"/>
    <col min="3" max="3" width="37.109375" customWidth="1"/>
    <col min="4" max="4" width="13.109375" customWidth="1"/>
    <col min="5" max="5" width="11" customWidth="1"/>
    <col min="6" max="6" width="15.6640625" customWidth="1"/>
    <col min="7" max="7" width="16.109375" bestFit="1" customWidth="1"/>
    <col min="8" max="8" width="17.5546875" customWidth="1"/>
    <col min="9" max="9" width="23.5546875" bestFit="1" customWidth="1"/>
    <col min="10" max="10" width="14.33203125" bestFit="1" customWidth="1"/>
    <col min="13" max="13" width="23.5546875" bestFit="1" customWidth="1"/>
    <col min="14" max="14" width="14.33203125" bestFit="1" customWidth="1"/>
  </cols>
  <sheetData>
    <row r="2" spans="1:11" s="5" customFormat="1" ht="27.9" customHeight="1" x14ac:dyDescent="0.3">
      <c r="A2" s="6"/>
      <c r="B2" s="6" t="s">
        <v>18</v>
      </c>
      <c r="D2" s="7"/>
      <c r="E2" s="7"/>
      <c r="F2" s="7"/>
      <c r="H2" s="7"/>
      <c r="I2" s="7"/>
      <c r="J2" s="7"/>
      <c r="K2" s="7"/>
    </row>
    <row r="3" spans="1:11" ht="32.25" customHeight="1" x14ac:dyDescent="0.3"/>
    <row r="4" spans="1:11" x14ac:dyDescent="0.3">
      <c r="B4" t="s">
        <v>66</v>
      </c>
      <c r="C4" t="s">
        <v>67</v>
      </c>
      <c r="D4" t="s">
        <v>57</v>
      </c>
      <c r="E4" t="s">
        <v>80</v>
      </c>
      <c r="F4" t="s">
        <v>58</v>
      </c>
      <c r="G4" t="s">
        <v>59</v>
      </c>
      <c r="H4" t="s">
        <v>60</v>
      </c>
      <c r="I4" t="s">
        <v>87</v>
      </c>
    </row>
    <row r="5" spans="1:11" x14ac:dyDescent="0.3">
      <c r="B5" s="8">
        <v>45624</v>
      </c>
      <c r="C5" t="s">
        <v>68</v>
      </c>
      <c r="D5" t="s">
        <v>24</v>
      </c>
      <c r="E5" s="64" t="str">
        <f>IFERROR(VLOOKUP(Tabela2[[#This Row],[Mercadoria]],cálculos!$I$3:$L$26,4,0),"")</f>
        <v>Unidade</v>
      </c>
      <c r="F5">
        <v>10</v>
      </c>
      <c r="G5" s="65">
        <f>IFERROR(VLOOKUP(Tabela2[[#This Row],[Mercadoria]],cálculos!$I$3:$K$26,2,0),0)</f>
        <v>2.8405</v>
      </c>
      <c r="H5" s="9"/>
      <c r="I5" s="65">
        <f>Tabela2[[#This Row],[Quantidade]]*Tabela2[[#This Row],[Preço Unitário]]*(1-Tabela2[[#This Row],[Desconto]])</f>
        <v>28.405000000000001</v>
      </c>
    </row>
    <row r="6" spans="1:11" x14ac:dyDescent="0.3">
      <c r="B6" s="8">
        <v>45478</v>
      </c>
      <c r="C6" t="s">
        <v>68</v>
      </c>
      <c r="D6" t="s">
        <v>36</v>
      </c>
      <c r="E6" t="str">
        <f>IFERROR(VLOOKUP(Tabela2[[#This Row],[Mercadoria]],cálculos!$I$3:$L$26,4,0),"")</f>
        <v>Unidade</v>
      </c>
      <c r="F6">
        <v>50</v>
      </c>
      <c r="G6" s="1">
        <f>IFERROR(VLOOKUP(Tabela2[[#This Row],[Mercadoria]],cálculos!$I$3:$K$26,2,0),0)</f>
        <v>2.3660000000000001</v>
      </c>
      <c r="H6" s="9"/>
      <c r="I6" s="1">
        <f>Tabela2[[#This Row],[Quantidade]]*Tabela2[[#This Row],[Preço Unitário]]*(1-Tabela2[[#This Row],[Desconto]])</f>
        <v>118.30000000000001</v>
      </c>
    </row>
    <row r="7" spans="1:11" x14ac:dyDescent="0.3">
      <c r="B7" s="8">
        <v>45478</v>
      </c>
      <c r="C7" t="s">
        <v>73</v>
      </c>
      <c r="D7" t="s">
        <v>22</v>
      </c>
      <c r="E7" t="str">
        <f>IFERROR(VLOOKUP(Tabela2[[#This Row],[Mercadoria]],cálculos!$I$3:$L$26,4,0),"")</f>
        <v>Kg</v>
      </c>
      <c r="F7">
        <v>120</v>
      </c>
      <c r="G7" s="1">
        <f>IFERROR(VLOOKUP(Tabela2[[#This Row],[Mercadoria]],cálculos!$I$3:$K$26,2,0),0)</f>
        <v>4.0659999999999998</v>
      </c>
      <c r="H7" s="9"/>
      <c r="I7" s="1">
        <f>Tabela2[[#This Row],[Quantidade]]*Tabela2[[#This Row],[Preço Unitário]]*(1-Tabela2[[#This Row],[Desconto]])</f>
        <v>487.91999999999996</v>
      </c>
    </row>
    <row r="8" spans="1:11" x14ac:dyDescent="0.3">
      <c r="B8" s="8">
        <v>45477</v>
      </c>
      <c r="C8" t="s">
        <v>73</v>
      </c>
      <c r="D8" t="s">
        <v>22</v>
      </c>
      <c r="E8" t="str">
        <f>IFERROR(VLOOKUP(Tabela2[[#This Row],[Mercadoria]],cálculos!$I$3:$L$26,4,0),"")</f>
        <v>Kg</v>
      </c>
      <c r="F8">
        <v>150</v>
      </c>
      <c r="G8" s="1">
        <f>IFERROR(VLOOKUP(Tabela2[[#This Row],[Mercadoria]],cálculos!$I$3:$K$26,2,0),0)</f>
        <v>4.0659999999999998</v>
      </c>
      <c r="H8" s="9"/>
      <c r="I8" s="1">
        <f>Tabela2[[#This Row],[Quantidade]]*Tabela2[[#This Row],[Preço Unitário]]*(1-Tabela2[[#This Row],[Desconto]])</f>
        <v>609.9</v>
      </c>
    </row>
    <row r="9" spans="1:11" x14ac:dyDescent="0.3">
      <c r="B9" s="8">
        <v>45477</v>
      </c>
      <c r="C9" t="s">
        <v>73</v>
      </c>
      <c r="D9" t="s">
        <v>21</v>
      </c>
      <c r="E9" t="str">
        <f>IFERROR(VLOOKUP(Tabela2[[#This Row],[Mercadoria]],cálculos!$I$3:$L$26,4,0),"")</f>
        <v>Kg</v>
      </c>
      <c r="F9">
        <v>150</v>
      </c>
      <c r="G9" s="1">
        <f>IFERROR(VLOOKUP(Tabela2[[#This Row],[Mercadoria]],cálculos!$I$3:$K$26,2,0),0)</f>
        <v>2.3406000000000002</v>
      </c>
      <c r="H9" s="9"/>
      <c r="I9" s="1">
        <f>Tabela2[[#This Row],[Quantidade]]*Tabela2[[#This Row],[Preço Unitário]]*(1-Tabela2[[#This Row],[Desconto]])</f>
        <v>351.09000000000003</v>
      </c>
    </row>
    <row r="10" spans="1:11" x14ac:dyDescent="0.3">
      <c r="B10" s="8">
        <v>45477</v>
      </c>
      <c r="C10" t="s">
        <v>71</v>
      </c>
      <c r="D10" t="s">
        <v>34</v>
      </c>
      <c r="E10" t="str">
        <f>IFERROR(VLOOKUP(Tabela2[[#This Row],[Mercadoria]],cálculos!$I$3:$L$26,4,0),"")</f>
        <v>Lata</v>
      </c>
      <c r="F10">
        <v>100</v>
      </c>
      <c r="G10" s="1">
        <f>IFERROR(VLOOKUP(Tabela2[[#This Row],[Mercadoria]],cálculos!$I$3:$K$26,2,0),0)</f>
        <v>2.1023999999999998</v>
      </c>
      <c r="H10" s="9"/>
      <c r="I10" s="1">
        <f>Tabela2[[#This Row],[Quantidade]]*Tabela2[[#This Row],[Preço Unitário]]*(1-Tabela2[[#This Row],[Desconto]])</f>
        <v>210.23999999999998</v>
      </c>
    </row>
    <row r="11" spans="1:11" x14ac:dyDescent="0.3">
      <c r="B11" s="8">
        <v>45477</v>
      </c>
      <c r="C11" t="s">
        <v>71</v>
      </c>
      <c r="D11" t="s">
        <v>30</v>
      </c>
      <c r="E11" t="str">
        <f>IFERROR(VLOOKUP(Tabela2[[#This Row],[Mercadoria]],cálculos!$I$3:$L$26,4,0),"")</f>
        <v>Litro</v>
      </c>
      <c r="F11">
        <v>200</v>
      </c>
      <c r="G11" s="1">
        <f>IFERROR(VLOOKUP(Tabela2[[#This Row],[Mercadoria]],cálculos!$I$3:$K$26,2,0),0)</f>
        <v>3.2084999999999999</v>
      </c>
      <c r="H11" s="9">
        <v>1.4999999999999999E-2</v>
      </c>
      <c r="I11" s="1">
        <f>Tabela2[[#This Row],[Quantidade]]*Tabela2[[#This Row],[Preço Unitário]]*(1-Tabela2[[#This Row],[Desconto]])</f>
        <v>632.07449999999994</v>
      </c>
    </row>
    <row r="12" spans="1:11" x14ac:dyDescent="0.3">
      <c r="B12" s="8">
        <v>45476</v>
      </c>
      <c r="C12" t="s">
        <v>72</v>
      </c>
      <c r="D12" t="s">
        <v>41</v>
      </c>
      <c r="E12" t="str">
        <f>IFERROR(VLOOKUP(Tabela2[[#This Row],[Mercadoria]],cálculos!$I$3:$L$26,4,0),"")</f>
        <v>Maço</v>
      </c>
      <c r="F12">
        <v>100</v>
      </c>
      <c r="G12" s="1">
        <f>IFERROR(VLOOKUP(Tabela2[[#This Row],[Mercadoria]],cálculos!$I$3:$K$26,2,0),0)</f>
        <v>6.3449999999999998</v>
      </c>
      <c r="H12" s="9"/>
      <c r="I12" s="1">
        <f>Tabela2[[#This Row],[Quantidade]]*Tabela2[[#This Row],[Preço Unitário]]*(1-Tabela2[[#This Row],[Desconto]])</f>
        <v>634.5</v>
      </c>
    </row>
    <row r="13" spans="1:11" x14ac:dyDescent="0.3">
      <c r="B13" s="8">
        <v>45476</v>
      </c>
      <c r="C13" t="s">
        <v>75</v>
      </c>
      <c r="D13" t="s">
        <v>40</v>
      </c>
      <c r="E13" t="str">
        <f>IFERROR(VLOOKUP(Tabela2[[#This Row],[Mercadoria]],cálculos!$I$3:$L$26,4,0),"")</f>
        <v>Barra</v>
      </c>
      <c r="F13">
        <v>100</v>
      </c>
      <c r="G13" s="1">
        <f>IFERROR(VLOOKUP(Tabela2[[#This Row],[Mercadoria]],cálculos!$I$3:$K$26,2,0),0)</f>
        <v>4.5409000000000006</v>
      </c>
      <c r="H13" s="9"/>
      <c r="I13" s="1">
        <f>Tabela2[[#This Row],[Quantidade]]*Tabela2[[#This Row],[Preço Unitário]]*(1-Tabela2[[#This Row],[Desconto]])</f>
        <v>454.09000000000003</v>
      </c>
    </row>
    <row r="14" spans="1:11" x14ac:dyDescent="0.3">
      <c r="B14" s="8">
        <v>45476</v>
      </c>
      <c r="C14" t="s">
        <v>73</v>
      </c>
      <c r="D14" t="s">
        <v>22</v>
      </c>
      <c r="E14" t="str">
        <f>IFERROR(VLOOKUP(Tabela2[[#This Row],[Mercadoria]],cálculos!$I$3:$L$26,4,0),"")</f>
        <v>Kg</v>
      </c>
      <c r="F14">
        <v>300</v>
      </c>
      <c r="G14" s="1">
        <f>IFERROR(VLOOKUP(Tabela2[[#This Row],[Mercadoria]],cálculos!$I$3:$K$26,2,0),0)</f>
        <v>4.0659999999999998</v>
      </c>
      <c r="H14" s="9">
        <v>0.03</v>
      </c>
      <c r="I14" s="1">
        <f>Tabela2[[#This Row],[Quantidade]]*Tabela2[[#This Row],[Preço Unitário]]*(1-Tabela2[[#This Row],[Desconto]])</f>
        <v>1183.2059999999999</v>
      </c>
    </row>
    <row r="15" spans="1:11" x14ac:dyDescent="0.3">
      <c r="B15" s="8">
        <v>45476</v>
      </c>
      <c r="C15" t="s">
        <v>73</v>
      </c>
      <c r="D15" t="s">
        <v>33</v>
      </c>
      <c r="E15" t="str">
        <f>IFERROR(VLOOKUP(Tabela2[[#This Row],[Mercadoria]],cálculos!$I$3:$L$26,4,0),"")</f>
        <v>Pacote</v>
      </c>
      <c r="F15">
        <v>50</v>
      </c>
      <c r="G15" s="1">
        <f>IFERROR(VLOOKUP(Tabela2[[#This Row],[Mercadoria]],cálculos!$I$3:$K$26,2,0),0)</f>
        <v>1.0580000000000001</v>
      </c>
      <c r="H15" s="9"/>
      <c r="I15" s="1">
        <f>Tabela2[[#This Row],[Quantidade]]*Tabela2[[#This Row],[Preço Unitário]]*(1-Tabela2[[#This Row],[Desconto]])</f>
        <v>52.900000000000006</v>
      </c>
    </row>
    <row r="16" spans="1:11" x14ac:dyDescent="0.3">
      <c r="B16" s="8">
        <v>45476</v>
      </c>
      <c r="C16" t="s">
        <v>74</v>
      </c>
      <c r="D16" t="s">
        <v>90</v>
      </c>
      <c r="E16" t="str">
        <f>IFERROR(VLOOKUP(Tabela2[[#This Row],[Mercadoria]],cálculos!$I$3:$L$26,4,0),"")</f>
        <v>Unidade</v>
      </c>
      <c r="F16">
        <v>300</v>
      </c>
      <c r="G16" s="1">
        <f>IFERROR(VLOOKUP(Tabela2[[#This Row],[Mercadoria]],cálculos!$I$3:$K$26,2,0),0)</f>
        <v>2.6299000000000001</v>
      </c>
      <c r="H16" s="9">
        <v>0.03</v>
      </c>
      <c r="I16" s="1">
        <f>Tabela2[[#This Row],[Quantidade]]*Tabela2[[#This Row],[Preço Unitário]]*(1-Tabela2[[#This Row],[Desconto]])</f>
        <v>765.30089999999996</v>
      </c>
    </row>
    <row r="17" spans="2:9" x14ac:dyDescent="0.3">
      <c r="B17" s="8">
        <v>45476</v>
      </c>
      <c r="C17" t="s">
        <v>75</v>
      </c>
      <c r="D17" t="s">
        <v>39</v>
      </c>
      <c r="E17" t="str">
        <f>IFERROR(VLOOKUP(Tabela2[[#This Row],[Mercadoria]],cálculos!$I$3:$L$26,4,0),"")</f>
        <v>Pacote</v>
      </c>
      <c r="F17">
        <v>100</v>
      </c>
      <c r="G17" s="1">
        <f>IFERROR(VLOOKUP(Tabela2[[#This Row],[Mercadoria]],cálculos!$I$3:$K$26,2,0),0)</f>
        <v>1.8506999999999998</v>
      </c>
      <c r="H17" s="9"/>
      <c r="I17" s="1">
        <f>Tabela2[[#This Row],[Quantidade]]*Tabela2[[#This Row],[Preço Unitário]]*(1-Tabela2[[#This Row],[Desconto]])</f>
        <v>185.07</v>
      </c>
    </row>
    <row r="18" spans="2:9" x14ac:dyDescent="0.3">
      <c r="B18" s="8">
        <v>45476</v>
      </c>
      <c r="C18" t="s">
        <v>71</v>
      </c>
      <c r="D18" t="s">
        <v>34</v>
      </c>
      <c r="E18" t="str">
        <f>IFERROR(VLOOKUP(Tabela2[[#This Row],[Mercadoria]],cálculos!$I$3:$L$26,4,0),"")</f>
        <v>Lata</v>
      </c>
      <c r="F18">
        <v>100</v>
      </c>
      <c r="G18" s="1">
        <f>IFERROR(VLOOKUP(Tabela2[[#This Row],[Mercadoria]],cálculos!$I$3:$K$26,2,0),0)</f>
        <v>2.1023999999999998</v>
      </c>
      <c r="H18" s="9"/>
      <c r="I18" s="1">
        <f>Tabela2[[#This Row],[Quantidade]]*Tabela2[[#This Row],[Preço Unitário]]*(1-Tabela2[[#This Row],[Desconto]])</f>
        <v>210.23999999999998</v>
      </c>
    </row>
    <row r="19" spans="2:9" x14ac:dyDescent="0.3">
      <c r="B19" s="8">
        <v>45476</v>
      </c>
      <c r="C19" t="s">
        <v>76</v>
      </c>
      <c r="D19" t="s">
        <v>26</v>
      </c>
      <c r="E19" t="str">
        <f>IFERROR(VLOOKUP(Tabela2[[#This Row],[Mercadoria]],cálculos!$I$3:$L$26,4,0),"")</f>
        <v>Kg</v>
      </c>
      <c r="F19">
        <v>110</v>
      </c>
      <c r="G19" s="1">
        <f>IFERROR(VLOOKUP(Tabela2[[#This Row],[Mercadoria]],cálculos!$I$3:$K$26,2,0),0)</f>
        <v>6.4216000000000006</v>
      </c>
      <c r="H19" s="9"/>
      <c r="I19" s="1">
        <f>Tabela2[[#This Row],[Quantidade]]*Tabela2[[#This Row],[Preço Unitário]]*(1-Tabela2[[#This Row],[Desconto]])</f>
        <v>706.37600000000009</v>
      </c>
    </row>
    <row r="20" spans="2:9" x14ac:dyDescent="0.3">
      <c r="B20" s="8">
        <v>45476</v>
      </c>
      <c r="C20" t="s">
        <v>77</v>
      </c>
      <c r="D20" t="s">
        <v>28</v>
      </c>
      <c r="E20" t="str">
        <f>IFERROR(VLOOKUP(Tabela2[[#This Row],[Mercadoria]],cálculos!$I$3:$L$26,4,0),"")</f>
        <v>Kg</v>
      </c>
      <c r="F20">
        <v>50</v>
      </c>
      <c r="G20" s="1">
        <f>IFERROR(VLOOKUP(Tabela2[[#This Row],[Mercadoria]],cálculos!$I$3:$K$26,2,0),0)</f>
        <v>22.226999999999997</v>
      </c>
      <c r="H20" s="9">
        <v>0.05</v>
      </c>
      <c r="I20" s="1">
        <f>Tabela2[[#This Row],[Quantidade]]*Tabela2[[#This Row],[Preço Unitário]]*(1-Tabela2[[#This Row],[Desconto]])</f>
        <v>1055.7824999999998</v>
      </c>
    </row>
    <row r="21" spans="2:9" x14ac:dyDescent="0.3">
      <c r="B21" s="8">
        <v>45475</v>
      </c>
      <c r="C21" t="s">
        <v>73</v>
      </c>
      <c r="D21" t="s">
        <v>21</v>
      </c>
      <c r="E21" t="str">
        <f>IFERROR(VLOOKUP(Tabela2[[#This Row],[Mercadoria]],cálculos!$I$3:$L$26,4,0),"")</f>
        <v>Kg</v>
      </c>
      <c r="F21">
        <v>300</v>
      </c>
      <c r="G21" s="1">
        <f>IFERROR(VLOOKUP(Tabela2[[#This Row],[Mercadoria]],cálculos!$I$3:$K$26,2,0),0)</f>
        <v>2.3406000000000002</v>
      </c>
      <c r="H21" s="9">
        <v>0.03</v>
      </c>
      <c r="I21" s="1">
        <f>Tabela2[[#This Row],[Quantidade]]*Tabela2[[#This Row],[Preço Unitário]]*(1-Tabela2[[#This Row],[Desconto]])</f>
        <v>681.1146</v>
      </c>
    </row>
    <row r="22" spans="2:9" x14ac:dyDescent="0.3">
      <c r="B22" s="8">
        <v>45475</v>
      </c>
      <c r="C22" t="s">
        <v>68</v>
      </c>
      <c r="D22" t="s">
        <v>24</v>
      </c>
      <c r="E22" t="str">
        <f>IFERROR(VLOOKUP(Tabela2[[#This Row],[Mercadoria]],cálculos!$I$3:$L$26,4,0),"")</f>
        <v>Unidade</v>
      </c>
      <c r="F22">
        <v>150</v>
      </c>
      <c r="G22" s="1">
        <f>IFERROR(VLOOKUP(Tabela2[[#This Row],[Mercadoria]],cálculos!$I$3:$K$26,2,0),0)</f>
        <v>2.8405</v>
      </c>
      <c r="H22" s="9"/>
      <c r="I22" s="1">
        <f>Tabela2[[#This Row],[Quantidade]]*Tabela2[[#This Row],[Preço Unitário]]*(1-Tabela2[[#This Row],[Desconto]])</f>
        <v>426.07499999999999</v>
      </c>
    </row>
    <row r="23" spans="2:9" x14ac:dyDescent="0.3">
      <c r="B23" s="8">
        <v>45475</v>
      </c>
      <c r="C23" t="s">
        <v>69</v>
      </c>
      <c r="D23" t="s">
        <v>31</v>
      </c>
      <c r="E23" t="str">
        <f>IFERROR(VLOOKUP(Tabela2[[#This Row],[Mercadoria]],cálculos!$I$3:$L$26,4,0),"")</f>
        <v>Kg</v>
      </c>
      <c r="F23">
        <v>150</v>
      </c>
      <c r="G23" s="1">
        <f>IFERROR(VLOOKUP(Tabela2[[#This Row],[Mercadoria]],cálculos!$I$3:$K$26,2,0),0)</f>
        <v>3.6309000000000005</v>
      </c>
      <c r="H23" s="9"/>
      <c r="I23" s="1">
        <f>Tabela2[[#This Row],[Quantidade]]*Tabela2[[#This Row],[Preço Unitário]]*(1-Tabela2[[#This Row],[Desconto]])</f>
        <v>544.6350000000001</v>
      </c>
    </row>
    <row r="24" spans="2:9" x14ac:dyDescent="0.3">
      <c r="B24" s="8">
        <v>45475</v>
      </c>
      <c r="C24" t="s">
        <v>70</v>
      </c>
      <c r="D24" t="s">
        <v>25</v>
      </c>
      <c r="E24" t="str">
        <f>IFERROR(VLOOKUP(Tabela2[[#This Row],[Mercadoria]],cálculos!$I$3:$L$26,4,0),"")</f>
        <v>Kg</v>
      </c>
      <c r="F24">
        <v>150</v>
      </c>
      <c r="G24" s="1">
        <f>IFERROR(VLOOKUP(Tabela2[[#This Row],[Mercadoria]],cálculos!$I$3:$K$26,2,0),0)</f>
        <v>14.469000000000001</v>
      </c>
      <c r="H24" s="9"/>
      <c r="I24" s="1">
        <f>Tabela2[[#This Row],[Quantidade]]*Tabela2[[#This Row],[Preço Unitário]]*(1-Tabela2[[#This Row],[Desconto]])</f>
        <v>2170.3500000000004</v>
      </c>
    </row>
    <row r="25" spans="2:9" x14ac:dyDescent="0.3">
      <c r="B25" s="8">
        <v>45475</v>
      </c>
      <c r="C25" t="s">
        <v>71</v>
      </c>
      <c r="D25" t="s">
        <v>34</v>
      </c>
      <c r="E25" t="str">
        <f>IFERROR(VLOOKUP(Tabela2[[#This Row],[Mercadoria]],cálculos!$I$3:$L$26,4,0),"")</f>
        <v>Lata</v>
      </c>
      <c r="F25">
        <v>100</v>
      </c>
      <c r="G25" s="1">
        <f>IFERROR(VLOOKUP(Tabela2[[#This Row],[Mercadoria]],cálculos!$I$3:$K$26,2,0),0)</f>
        <v>2.1023999999999998</v>
      </c>
      <c r="H25" s="9">
        <v>0.05</v>
      </c>
      <c r="I25" s="1">
        <f>Tabela2[[#This Row],[Quantidade]]*Tabela2[[#This Row],[Preço Unitário]]*(1-Tabela2[[#This Row],[Desconto]])</f>
        <v>199.72799999999998</v>
      </c>
    </row>
    <row r="26" spans="2:9" x14ac:dyDescent="0.3">
      <c r="B26" s="8">
        <v>45475</v>
      </c>
      <c r="C26" t="s">
        <v>71</v>
      </c>
      <c r="D26" t="s">
        <v>29</v>
      </c>
      <c r="E26" t="str">
        <f>IFERROR(VLOOKUP(Tabela2[[#This Row],[Mercadoria]],cálculos!$I$3:$L$26,4,0),"")</f>
        <v>Garrafa</v>
      </c>
      <c r="F26">
        <v>80</v>
      </c>
      <c r="G26" s="1">
        <f>IFERROR(VLOOKUP(Tabela2[[#This Row],[Mercadoria]],cálculos!$I$3:$K$26,2,0),0)</f>
        <v>26.012999999999998</v>
      </c>
      <c r="H26" s="9"/>
      <c r="I26" s="1">
        <f>Tabela2[[#This Row],[Quantidade]]*Tabela2[[#This Row],[Preço Unitário]]*(1-Tabela2[[#This Row],[Desconto]])</f>
        <v>2081.04</v>
      </c>
    </row>
    <row r="27" spans="2:9" x14ac:dyDescent="0.3">
      <c r="B27" s="8">
        <v>45475</v>
      </c>
      <c r="C27" t="s">
        <v>68</v>
      </c>
      <c r="D27" t="s">
        <v>36</v>
      </c>
      <c r="E27" t="str">
        <f>IFERROR(VLOOKUP(Tabela2[[#This Row],[Mercadoria]],cálculos!$I$3:$L$26,4,0),"")</f>
        <v>Unidade</v>
      </c>
      <c r="F27">
        <v>100</v>
      </c>
      <c r="G27" s="1">
        <f>IFERROR(VLOOKUP(Tabela2[[#This Row],[Mercadoria]],cálculos!$I$3:$K$26,2,0),0)</f>
        <v>2.3660000000000001</v>
      </c>
      <c r="H27" s="9"/>
      <c r="I27" s="1">
        <f>Tabela2[[#This Row],[Quantidade]]*Tabela2[[#This Row],[Preço Unitário]]*(1-Tabela2[[#This Row],[Desconto]])</f>
        <v>236.60000000000002</v>
      </c>
    </row>
    <row r="29" spans="2:9" ht="21" x14ac:dyDescent="0.4">
      <c r="B29" s="3" t="s">
        <v>52</v>
      </c>
      <c r="C29" s="3"/>
      <c r="D29" s="3"/>
      <c r="E29" s="11"/>
      <c r="F29" s="11"/>
      <c r="G29" s="11"/>
      <c r="H29" s="11"/>
      <c r="I29" s="12">
        <f>SUM(Tabela2[Preço Pago])</f>
        <v>14024.937500000002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cálculos!$I$3:$I$25</xm:f>
          </x14:formula1>
          <xm:sqref>D9:D27</xm:sqref>
        </x14:dataValidation>
        <x14:dataValidation type="list" allowBlank="1" showInputMessage="1" showErrorMessage="1" xr:uid="{00000000-0002-0000-0200-000001000000}">
          <x14:formula1>
            <xm:f>cálculos!$I$3:$I$26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J28"/>
  <sheetViews>
    <sheetView showGridLines="0" topLeftCell="A7" workbookViewId="0"/>
  </sheetViews>
  <sheetFormatPr defaultRowHeight="14.4" x14ac:dyDescent="0.3"/>
  <cols>
    <col min="1" max="1" width="12.6640625" customWidth="1"/>
    <col min="2" max="2" width="15.6640625" bestFit="1" customWidth="1"/>
    <col min="3" max="3" width="22.88671875" customWidth="1"/>
    <col min="4" max="4" width="19.5546875" bestFit="1" customWidth="1"/>
    <col min="5" max="5" width="23.44140625" bestFit="1" customWidth="1"/>
    <col min="6" max="6" width="23" customWidth="1"/>
    <col min="7" max="7" width="18.6640625" customWidth="1"/>
    <col min="8" max="8" width="10.5546875" customWidth="1"/>
    <col min="9" max="9" width="16.6640625" bestFit="1" customWidth="1"/>
  </cols>
  <sheetData>
    <row r="2" spans="1:10" s="5" customFormat="1" ht="27.9" customHeight="1" x14ac:dyDescent="0.3">
      <c r="A2" s="6"/>
      <c r="B2" s="6" t="s">
        <v>20</v>
      </c>
      <c r="C2" s="7"/>
      <c r="D2" s="7"/>
      <c r="E2" s="7"/>
      <c r="H2" s="7"/>
      <c r="I2" s="7"/>
      <c r="J2" s="7"/>
    </row>
    <row r="3" spans="1:10" ht="32.25" customHeight="1" x14ac:dyDescent="0.3"/>
    <row r="4" spans="1:10" x14ac:dyDescent="0.3">
      <c r="B4" t="s">
        <v>93</v>
      </c>
      <c r="C4" t="s">
        <v>95</v>
      </c>
      <c r="D4" t="s">
        <v>98</v>
      </c>
      <c r="E4" t="s">
        <v>96</v>
      </c>
      <c r="F4" t="s">
        <v>97</v>
      </c>
      <c r="G4" t="s">
        <v>94</v>
      </c>
      <c r="H4" t="s">
        <v>99</v>
      </c>
    </row>
    <row r="5" spans="1:10" x14ac:dyDescent="0.3">
      <c r="B5" t="str">
        <f>cálculos!I3</f>
        <v>Alface</v>
      </c>
      <c r="C5" s="8">
        <f>IFERROR(INDEX(Tabela2[],MATCH(Tabela3[[#This Row],[Produto]],Tabela2[Mercadoria],0),1),"")</f>
        <v>45624</v>
      </c>
      <c r="D5">
        <v>15</v>
      </c>
      <c r="E5">
        <f>SUMIF(Tabela2[Mercadoria],Tabela3[[#This Row],[Produto]],Tabela2[Quantidade])</f>
        <v>160</v>
      </c>
      <c r="F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5">
        <f>Tabela3[[#This Row],[Quantidade Inicial]]+Tabela3[[#This Row],[Quantidade Comprada]]-Tabela3[[#This Row],[Quantidade Vendida]]</f>
        <v>172</v>
      </c>
      <c r="H5" t="str">
        <f>IF(Tabela3[[#This Row],[Quantidade Atual]]&lt;50,IF(Tabela3[[#This Row],[Quantidade Atual]]&lt;20,"Comprar","Atenção"),"OK")</f>
        <v>OK</v>
      </c>
    </row>
    <row r="6" spans="1:10" x14ac:dyDescent="0.3">
      <c r="B6" t="str">
        <f>cálculos!I4</f>
        <v>Amendoim</v>
      </c>
      <c r="C6" s="8">
        <f>IFERROR(INDEX(Tabela2[],MATCH(Tabela3[[#This Row],[Produto]],Tabela2[Mercadoria],0),1),"")</f>
        <v>45476</v>
      </c>
      <c r="D6">
        <v>10</v>
      </c>
      <c r="E6">
        <f>SUMIF(Tabela2[Mercadoria],Tabela3[[#This Row],[Produto]],Tabela2[Quantidade])</f>
        <v>50</v>
      </c>
      <c r="F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13</v>
      </c>
      <c r="G6">
        <f>Tabela3[[#This Row],[Quantidade Inicial]]+Tabela3[[#This Row],[Quantidade Comprada]]-Tabela3[[#This Row],[Quantidade Vendida]]</f>
        <v>47</v>
      </c>
      <c r="H6" t="str">
        <f>IF(Tabela3[[#This Row],[Quantidade Atual]]&lt;50,IF(Tabela3[[#This Row],[Quantidade Atual]]&lt;20,"Comprar","Atenção"),"OK")</f>
        <v>Atenção</v>
      </c>
    </row>
    <row r="7" spans="1:10" x14ac:dyDescent="0.3">
      <c r="B7" t="str">
        <f>cálculos!I5</f>
        <v>Arroz</v>
      </c>
      <c r="C7" s="8">
        <f>IFERROR(INDEX(Tabela2[],MATCH(Tabela3[[#This Row],[Produto]],Tabela2[Mercadoria],0),1),"")</f>
        <v>45477</v>
      </c>
      <c r="D7">
        <v>0</v>
      </c>
      <c r="E7">
        <f>SUMIF(Tabela2[Mercadoria],Tabela3[[#This Row],[Produto]],Tabela2[Quantidade])</f>
        <v>450</v>
      </c>
      <c r="F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7</v>
      </c>
      <c r="G7">
        <f>Tabela3[[#This Row],[Quantidade Inicial]]+Tabela3[[#This Row],[Quantidade Comprada]]-Tabela3[[#This Row],[Quantidade Vendida]]</f>
        <v>443</v>
      </c>
      <c r="H7" t="str">
        <f>IF(Tabela3[[#This Row],[Quantidade Atual]]&lt;50,IF(Tabela3[[#This Row],[Quantidade Atual]]&lt;20,"Comprar","Atenção"),"OK")</f>
        <v>OK</v>
      </c>
    </row>
    <row r="8" spans="1:10" x14ac:dyDescent="0.3">
      <c r="B8" t="str">
        <f>cálculos!I6</f>
        <v>Bala</v>
      </c>
      <c r="C8" s="8">
        <f>IFERROR(INDEX(Tabela2[],MATCH(Tabela3[[#This Row],[Produto]],Tabela2[Mercadoria],0),1),"")</f>
        <v>45476</v>
      </c>
      <c r="D8">
        <v>0</v>
      </c>
      <c r="E8">
        <f>SUMIF(Tabela2[Mercadoria],Tabela3[[#This Row],[Produto]],Tabela2[Quantidade])</f>
        <v>100</v>
      </c>
      <c r="F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8">
        <f>Tabela3[[#This Row],[Quantidade Inicial]]+Tabela3[[#This Row],[Quantidade Comprada]]-Tabela3[[#This Row],[Quantidade Vendida]]</f>
        <v>96</v>
      </c>
      <c r="H8" t="str">
        <f>IF(Tabela3[[#This Row],[Quantidade Atual]]&lt;50,IF(Tabela3[[#This Row],[Quantidade Atual]]&lt;20,"Comprar","Atenção"),"OK")</f>
        <v>OK</v>
      </c>
    </row>
    <row r="9" spans="1:10" x14ac:dyDescent="0.3">
      <c r="B9" t="str">
        <f>cálculos!I7</f>
        <v>Barra de Cereal</v>
      </c>
      <c r="C9" s="8" t="str">
        <f>IFERROR(INDEX(Tabela2[],MATCH(Tabela3[[#This Row],[Produto]],Tabela2[Mercadoria],0),1),"")</f>
        <v/>
      </c>
      <c r="D9">
        <v>150</v>
      </c>
      <c r="E9">
        <f>SUMIF(Tabela2[Mercadoria],Tabela3[[#This Row],[Produto]],Tabela2[Quantidade])</f>
        <v>0</v>
      </c>
      <c r="F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9">
        <f>Tabela3[[#This Row],[Quantidade Inicial]]+Tabela3[[#This Row],[Quantidade Comprada]]-Tabela3[[#This Row],[Quantidade Vendida]]</f>
        <v>148</v>
      </c>
      <c r="H9" t="str">
        <f>IF(Tabela3[[#This Row],[Quantidade Atual]]&lt;50,IF(Tabela3[[#This Row],[Quantidade Atual]]&lt;20,"Comprar","Atenção"),"OK")</f>
        <v>OK</v>
      </c>
    </row>
    <row r="10" spans="1:10" x14ac:dyDescent="0.3">
      <c r="B10" t="str">
        <f>cálculos!I8</f>
        <v>Leite</v>
      </c>
      <c r="C10" s="8" t="str">
        <f>IFERROR(INDEX(Tabela2[],MATCH(Tabela3[[#This Row],[Produto]],Tabela2[Mercadoria],0),1),"")</f>
        <v/>
      </c>
      <c r="D10">
        <v>15</v>
      </c>
      <c r="E10">
        <f>SUMIF(Tabela2[Mercadoria],Tabela3[[#This Row],[Produto]],Tabela2[Quantidade])</f>
        <v>0</v>
      </c>
      <c r="F1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6</v>
      </c>
      <c r="G10">
        <f>Tabela3[[#This Row],[Quantidade Inicial]]+Tabela3[[#This Row],[Quantidade Comprada]]-Tabela3[[#This Row],[Quantidade Vendida]]</f>
        <v>9</v>
      </c>
      <c r="H10" t="str">
        <f>IF(Tabela3[[#This Row],[Quantidade Atual]]&lt;50,IF(Tabela3[[#This Row],[Quantidade Atual]]&lt;20,"Comprar","Atenção"),"OK")</f>
        <v>Comprar</v>
      </c>
    </row>
    <row r="11" spans="1:10" x14ac:dyDescent="0.3">
      <c r="B11" t="str">
        <f>cálculos!I9</f>
        <v>Caixa de Fósforo</v>
      </c>
      <c r="C11" s="8" t="str">
        <f>IFERROR(INDEX(Tabela2[],MATCH(Tabela3[[#This Row],[Produto]],Tabela2[Mercadoria],0),1),"")</f>
        <v/>
      </c>
      <c r="D11">
        <v>25</v>
      </c>
      <c r="E11">
        <f>SUMIF(Tabela2[Mercadoria],Tabela3[[#This Row],[Produto]],Tabela2[Quantidade])</f>
        <v>0</v>
      </c>
      <c r="F1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11">
        <f>Tabela3[[#This Row],[Quantidade Inicial]]+Tabela3[[#This Row],[Quantidade Comprada]]-Tabela3[[#This Row],[Quantidade Vendida]]</f>
        <v>22</v>
      </c>
      <c r="H11" t="str">
        <f>IF(Tabela3[[#This Row],[Quantidade Atual]]&lt;50,IF(Tabela3[[#This Row],[Quantidade Atual]]&lt;20,"Comprar","Atenção"),"OK")</f>
        <v>Atenção</v>
      </c>
    </row>
    <row r="12" spans="1:10" x14ac:dyDescent="0.3">
      <c r="B12" t="str">
        <f>cálculos!I10</f>
        <v>Carne</v>
      </c>
      <c r="C12" s="8">
        <f>IFERROR(INDEX(Tabela2[],MATCH(Tabela3[[#This Row],[Produto]],Tabela2[Mercadoria],0),1),"")</f>
        <v>45475</v>
      </c>
      <c r="D12">
        <v>0</v>
      </c>
      <c r="E12">
        <f>SUMIF(Tabela2[Mercadoria],Tabela3[[#This Row],[Produto]],Tabela2[Quantidade])</f>
        <v>150</v>
      </c>
      <c r="F1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16</v>
      </c>
      <c r="G12">
        <f>Tabela3[[#This Row],[Quantidade Inicial]]+Tabela3[[#This Row],[Quantidade Comprada]]-Tabela3[[#This Row],[Quantidade Vendida]]</f>
        <v>134</v>
      </c>
      <c r="H12" t="str">
        <f>IF(Tabela3[[#This Row],[Quantidade Atual]]&lt;50,IF(Tabela3[[#This Row],[Quantidade Atual]]&lt;20,"Comprar","Atenção"),"OK")</f>
        <v>OK</v>
      </c>
    </row>
    <row r="13" spans="1:10" x14ac:dyDescent="0.3">
      <c r="B13" t="str">
        <f>cálculos!I11</f>
        <v>Cenoura</v>
      </c>
      <c r="C13" s="8">
        <f>IFERROR(INDEX(Tabela2[],MATCH(Tabela3[[#This Row],[Produto]],Tabela2[Mercadoria],0),1),"")</f>
        <v>45475</v>
      </c>
      <c r="D13">
        <v>0</v>
      </c>
      <c r="E13">
        <f>SUMIF(Tabela2[Mercadoria],Tabela3[[#This Row],[Produto]],Tabela2[Quantidade])</f>
        <v>150</v>
      </c>
      <c r="F1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3">
        <f>Tabela3[[#This Row],[Quantidade Inicial]]+Tabela3[[#This Row],[Quantidade Comprada]]-Tabela3[[#This Row],[Quantidade Vendida]]</f>
        <v>150</v>
      </c>
      <c r="H13" t="str">
        <f>IF(Tabela3[[#This Row],[Quantidade Atual]]&lt;50,IF(Tabela3[[#This Row],[Quantidade Atual]]&lt;20,"Comprar","Atenção"),"OK")</f>
        <v>OK</v>
      </c>
    </row>
    <row r="14" spans="1:10" x14ac:dyDescent="0.3">
      <c r="B14" t="str">
        <f>cálculos!I12</f>
        <v>Cerveja</v>
      </c>
      <c r="C14" s="8">
        <f>IFERROR(INDEX(Tabela2[],MATCH(Tabela3[[#This Row],[Produto]],Tabela2[Mercadoria],0),1),"")</f>
        <v>45477</v>
      </c>
      <c r="D14">
        <v>30</v>
      </c>
      <c r="E14">
        <f>SUMIF(Tabela2[Mercadoria],Tabela3[[#This Row],[Produto]],Tabela2[Quantidade])</f>
        <v>300</v>
      </c>
      <c r="F1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87</v>
      </c>
      <c r="G14">
        <f>Tabela3[[#This Row],[Quantidade Inicial]]+Tabela3[[#This Row],[Quantidade Comprada]]-Tabela3[[#This Row],[Quantidade Vendida]]</f>
        <v>243</v>
      </c>
      <c r="H14" t="str">
        <f>IF(Tabela3[[#This Row],[Quantidade Atual]]&lt;50,IF(Tabela3[[#This Row],[Quantidade Atual]]&lt;20,"Comprar","Atenção"),"OK")</f>
        <v>OK</v>
      </c>
    </row>
    <row r="15" spans="1:10" x14ac:dyDescent="0.3">
      <c r="B15" t="str">
        <f>cálculos!I13</f>
        <v>Chocolate</v>
      </c>
      <c r="C15" s="8">
        <f>IFERROR(INDEX(Tabela2[],MATCH(Tabela3[[#This Row],[Produto]],Tabela2[Mercadoria],0),1),"")</f>
        <v>45476</v>
      </c>
      <c r="D15">
        <v>0</v>
      </c>
      <c r="E15">
        <f>SUMIF(Tabela2[Mercadoria],Tabela3[[#This Row],[Produto]],Tabela2[Quantidade])</f>
        <v>100</v>
      </c>
      <c r="F1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5">
        <f>Tabela3[[#This Row],[Quantidade Inicial]]+Tabela3[[#This Row],[Quantidade Comprada]]-Tabela3[[#This Row],[Quantidade Vendida]]</f>
        <v>100</v>
      </c>
      <c r="H15" t="str">
        <f>IF(Tabela3[[#This Row],[Quantidade Atual]]&lt;50,IF(Tabela3[[#This Row],[Quantidade Atual]]&lt;20,"Comprar","Atenção"),"OK")</f>
        <v>OK</v>
      </c>
    </row>
    <row r="16" spans="1:10" x14ac:dyDescent="0.3">
      <c r="B16" t="str">
        <f>cálculos!I14</f>
        <v>Cigarro</v>
      </c>
      <c r="C16" s="8">
        <f>IFERROR(INDEX(Tabela2[],MATCH(Tabela3[[#This Row],[Produto]],Tabela2[Mercadoria],0),1),"")</f>
        <v>45476</v>
      </c>
      <c r="D16">
        <v>0</v>
      </c>
      <c r="E16">
        <f>SUMIF(Tabela2[Mercadoria],Tabela3[[#This Row],[Produto]],Tabela2[Quantidade])</f>
        <v>100</v>
      </c>
      <c r="F1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6">
        <f>Tabela3[[#This Row],[Quantidade Inicial]]+Tabela3[[#This Row],[Quantidade Comprada]]-Tabela3[[#This Row],[Quantidade Vendida]]</f>
        <v>100</v>
      </c>
      <c r="H16" t="str">
        <f>IF(Tabela3[[#This Row],[Quantidade Atual]]&lt;50,IF(Tabela3[[#This Row],[Quantidade Atual]]&lt;20,"Comprar","Atenção"),"OK")</f>
        <v>OK</v>
      </c>
    </row>
    <row r="17" spans="2:8" x14ac:dyDescent="0.3">
      <c r="B17" t="str">
        <f>cálculos!I15</f>
        <v>Couve</v>
      </c>
      <c r="C17" s="8">
        <f>IFERROR(INDEX(Tabela2[],MATCH(Tabela3[[#This Row],[Produto]],Tabela2[Mercadoria],0),1),"")</f>
        <v>45478</v>
      </c>
      <c r="D17">
        <v>0</v>
      </c>
      <c r="E17">
        <f>SUMIF(Tabela2[Mercadoria],Tabela3[[#This Row],[Produto]],Tabela2[Quantidade])</f>
        <v>150</v>
      </c>
      <c r="F1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7">
        <f>Tabela3[[#This Row],[Quantidade Inicial]]+Tabela3[[#This Row],[Quantidade Comprada]]-Tabela3[[#This Row],[Quantidade Vendida]]</f>
        <v>150</v>
      </c>
      <c r="H17" t="str">
        <f>IF(Tabela3[[#This Row],[Quantidade Atual]]&lt;50,IF(Tabela3[[#This Row],[Quantidade Atual]]&lt;20,"Comprar","Atenção"),"OK")</f>
        <v>OK</v>
      </c>
    </row>
    <row r="18" spans="2:8" x14ac:dyDescent="0.3">
      <c r="B18" t="str">
        <f>cálculos!I16</f>
        <v>Feijão</v>
      </c>
      <c r="C18" s="8">
        <f>IFERROR(INDEX(Tabela2[],MATCH(Tabela3[[#This Row],[Produto]],Tabela2[Mercadoria],0),1),"")</f>
        <v>45478</v>
      </c>
      <c r="D18">
        <v>0</v>
      </c>
      <c r="E18">
        <f>SUMIF(Tabela2[Mercadoria],Tabela3[[#This Row],[Produto]],Tabela2[Quantidade])</f>
        <v>570</v>
      </c>
      <c r="F1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18">
        <f>Tabela3[[#This Row],[Quantidade Inicial]]+Tabela3[[#This Row],[Quantidade Comprada]]-Tabela3[[#This Row],[Quantidade Vendida]]</f>
        <v>560</v>
      </c>
      <c r="H18" t="str">
        <f>IF(Tabela3[[#This Row],[Quantidade Atual]]&lt;50,IF(Tabela3[[#This Row],[Quantidade Atual]]&lt;20,"Comprar","Atenção"),"OK")</f>
        <v>OK</v>
      </c>
    </row>
    <row r="19" spans="2:8" x14ac:dyDescent="0.3">
      <c r="B19" t="str">
        <f>cálculos!I17</f>
        <v>Frango</v>
      </c>
      <c r="C19" s="8">
        <f>IFERROR(INDEX(Tabela2[],MATCH(Tabela3[[#This Row],[Produto]],Tabela2[Mercadoria],0),1),"")</f>
        <v>45476</v>
      </c>
      <c r="D19">
        <v>39</v>
      </c>
      <c r="E19">
        <f>SUMIF(Tabela2[Mercadoria],Tabela3[[#This Row],[Produto]],Tabela2[Quantidade])</f>
        <v>110</v>
      </c>
      <c r="F1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9">
        <f>Tabela3[[#This Row],[Quantidade Inicial]]+Tabela3[[#This Row],[Quantidade Comprada]]-Tabela3[[#This Row],[Quantidade Vendida]]</f>
        <v>149</v>
      </c>
      <c r="H19" t="str">
        <f>IF(Tabela3[[#This Row],[Quantidade Atual]]&lt;50,IF(Tabela3[[#This Row],[Quantidade Atual]]&lt;20,"Comprar","Atenção"),"OK")</f>
        <v>OK</v>
      </c>
    </row>
    <row r="20" spans="2:8" x14ac:dyDescent="0.3">
      <c r="B20" t="str">
        <f>cálculos!I18</f>
        <v>Pão de Forma</v>
      </c>
      <c r="C20" s="8">
        <f>IFERROR(INDEX(Tabela2[],MATCH(Tabela3[[#This Row],[Produto]],Tabela2[Mercadoria],0),1),"")</f>
        <v>45476</v>
      </c>
      <c r="D20">
        <v>0</v>
      </c>
      <c r="E20">
        <f>SUMIF(Tabela2[Mercadoria],Tabela3[[#This Row],[Produto]],Tabela2[Quantidade])</f>
        <v>300</v>
      </c>
      <c r="F2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5</v>
      </c>
      <c r="G20">
        <f>Tabela3[[#This Row],[Quantidade Inicial]]+Tabela3[[#This Row],[Quantidade Comprada]]-Tabela3[[#This Row],[Quantidade Vendida]]</f>
        <v>295</v>
      </c>
      <c r="H20" t="str">
        <f>IF(Tabela3[[#This Row],[Quantidade Atual]]&lt;50,IF(Tabela3[[#This Row],[Quantidade Atual]]&lt;20,"Comprar","Atenção"),"OK")</f>
        <v>OK</v>
      </c>
    </row>
    <row r="21" spans="2:8" x14ac:dyDescent="0.3">
      <c r="B21" t="str">
        <f>cálculos!I19</f>
        <v>Peixe</v>
      </c>
      <c r="C21" s="8">
        <f>IFERROR(INDEX(Tabela2[],MATCH(Tabela3[[#This Row],[Produto]],Tabela2[Mercadoria],0),1),"")</f>
        <v>45476</v>
      </c>
      <c r="D21">
        <v>0</v>
      </c>
      <c r="E21">
        <f>SUMIF(Tabela2[Mercadoria],Tabela3[[#This Row],[Produto]],Tabela2[Quantidade])</f>
        <v>50</v>
      </c>
      <c r="F2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1">
        <f>Tabela3[[#This Row],[Quantidade Inicial]]+Tabela3[[#This Row],[Quantidade Comprada]]-Tabela3[[#This Row],[Quantidade Vendida]]</f>
        <v>50</v>
      </c>
      <c r="H21" t="str">
        <f>IF(Tabela3[[#This Row],[Quantidade Atual]]&lt;50,IF(Tabela3[[#This Row],[Quantidade Atual]]&lt;20,"Comprar","Atenção"),"OK")</f>
        <v>OK</v>
      </c>
    </row>
    <row r="22" spans="2:8" x14ac:dyDescent="0.3">
      <c r="B22" t="str">
        <f>cálculos!I20</f>
        <v>Queijo</v>
      </c>
      <c r="C22" s="8" t="str">
        <f>IFERROR(INDEX(Tabela2[],MATCH(Tabela3[[#This Row],[Produto]],Tabela2[Mercadoria],0),1),"")</f>
        <v/>
      </c>
      <c r="D22">
        <v>10</v>
      </c>
      <c r="E22">
        <f>SUMIF(Tabela2[Mercadoria],Tabela3[[#This Row],[Produto]],Tabela2[Quantidade])</f>
        <v>0</v>
      </c>
      <c r="F2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1.5</v>
      </c>
      <c r="G22">
        <f>Tabela3[[#This Row],[Quantidade Inicial]]+Tabela3[[#This Row],[Quantidade Comprada]]-Tabela3[[#This Row],[Quantidade Vendida]]</f>
        <v>8.5</v>
      </c>
      <c r="H22" t="str">
        <f>IF(Tabela3[[#This Row],[Quantidade Atual]]&lt;50,IF(Tabela3[[#This Row],[Quantidade Atual]]&lt;20,"Comprar","Atenção"),"OK")</f>
        <v>Comprar</v>
      </c>
    </row>
    <row r="23" spans="2:8" x14ac:dyDescent="0.3">
      <c r="B23" t="str">
        <f>cálculos!I21</f>
        <v>Refrigerante</v>
      </c>
      <c r="C23" s="8" t="str">
        <f>IFERROR(INDEX(Tabela2[],MATCH(Tabela3[[#This Row],[Produto]],Tabela2[Mercadoria],0),1),"")</f>
        <v/>
      </c>
      <c r="D23">
        <v>100</v>
      </c>
      <c r="E23">
        <f>SUMIF(Tabela2[Mercadoria],Tabela3[[#This Row],[Produto]],Tabela2[Quantidade])</f>
        <v>0</v>
      </c>
      <c r="F2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23">
        <f>Tabela3[[#This Row],[Quantidade Inicial]]+Tabela3[[#This Row],[Quantidade Comprada]]-Tabela3[[#This Row],[Quantidade Vendida]]</f>
        <v>96</v>
      </c>
      <c r="H23" t="str">
        <f>IF(Tabela3[[#This Row],[Quantidade Atual]]&lt;50,IF(Tabela3[[#This Row],[Quantidade Atual]]&lt;20,"Comprar","Atenção"),"OK")</f>
        <v>OK</v>
      </c>
    </row>
    <row r="24" spans="2:8" x14ac:dyDescent="0.3">
      <c r="B24" t="str">
        <f>cálculos!I22</f>
        <v>Suco</v>
      </c>
      <c r="C24" s="8">
        <f>IFERROR(INDEX(Tabela2[],MATCH(Tabela3[[#This Row],[Produto]],Tabela2[Mercadoria],0),1),"")</f>
        <v>45477</v>
      </c>
      <c r="D24">
        <v>0</v>
      </c>
      <c r="E24">
        <f>SUMIF(Tabela2[Mercadoria],Tabela3[[#This Row],[Produto]],Tabela2[Quantidade])</f>
        <v>200</v>
      </c>
      <c r="F2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4">
        <f>Tabela3[[#This Row],[Quantidade Inicial]]+Tabela3[[#This Row],[Quantidade Comprada]]-Tabela3[[#This Row],[Quantidade Vendida]]</f>
        <v>200</v>
      </c>
      <c r="H24" t="str">
        <f>IF(Tabela3[[#This Row],[Quantidade Atual]]&lt;50,IF(Tabela3[[#This Row],[Quantidade Atual]]&lt;20,"Comprar","Atenção"),"OK")</f>
        <v>OK</v>
      </c>
    </row>
    <row r="25" spans="2:8" x14ac:dyDescent="0.3">
      <c r="B25" t="str">
        <f>cálculos!I23</f>
        <v>Tomate</v>
      </c>
      <c r="C25" s="8" t="str">
        <f>IFERROR(INDEX(Tabela2[],MATCH(Tabela3[[#This Row],[Produto]],Tabela2[Mercadoria],0),1),"")</f>
        <v/>
      </c>
      <c r="D25">
        <v>30</v>
      </c>
      <c r="E25">
        <f>SUMIF(Tabela2[Mercadoria],Tabela3[[#This Row],[Produto]],Tabela2[Quantidade])</f>
        <v>0</v>
      </c>
      <c r="F2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5">
        <f>Tabela3[[#This Row],[Quantidade Inicial]]+Tabela3[[#This Row],[Quantidade Comprada]]-Tabela3[[#This Row],[Quantidade Vendida]]</f>
        <v>30</v>
      </c>
      <c r="H25" t="str">
        <f>IF(Tabela3[[#This Row],[Quantidade Atual]]&lt;50,IF(Tabela3[[#This Row],[Quantidade Atual]]&lt;20,"Comprar","Atenção"),"OK")</f>
        <v>Atenção</v>
      </c>
    </row>
    <row r="26" spans="2:8" x14ac:dyDescent="0.3">
      <c r="B26" t="str">
        <f>cálculos!I24</f>
        <v>Vagem</v>
      </c>
      <c r="C26" s="8" t="str">
        <f>IFERROR(INDEX(Tabela2[],MATCH(Tabela3[[#This Row],[Produto]],Tabela2[Mercadoria],0),1),"")</f>
        <v/>
      </c>
      <c r="D26">
        <v>50</v>
      </c>
      <c r="E26">
        <f>SUMIF(Tabela2[Mercadoria],Tabela3[[#This Row],[Produto]],Tabela2[Quantidade])</f>
        <v>0</v>
      </c>
      <c r="F2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26">
        <f>Tabela3[[#This Row],[Quantidade Inicial]]+Tabela3[[#This Row],[Quantidade Comprada]]-Tabela3[[#This Row],[Quantidade Vendida]]</f>
        <v>48</v>
      </c>
      <c r="H26" t="str">
        <f>IF(Tabela3[[#This Row],[Quantidade Atual]]&lt;50,IF(Tabela3[[#This Row],[Quantidade Atual]]&lt;20,"Comprar","Atenção"),"OK")</f>
        <v>Atenção</v>
      </c>
    </row>
    <row r="27" spans="2:8" x14ac:dyDescent="0.3">
      <c r="B27" t="str">
        <f>cálculos!I25</f>
        <v>Vinho</v>
      </c>
      <c r="C27" s="8">
        <f>IFERROR(INDEX(Tabela2[],MATCH(Tabela3[[#This Row],[Produto]],Tabela2[Mercadoria],0),1),"")</f>
        <v>45475</v>
      </c>
      <c r="D27">
        <v>0</v>
      </c>
      <c r="E27">
        <f>SUMIF(Tabela2[Mercadoria],Tabela3[[#This Row],[Produto]],Tabela2[Quantidade])</f>
        <v>80</v>
      </c>
      <c r="F2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7">
        <f>Tabela3[[#This Row],[Quantidade Inicial]]+Tabela3[[#This Row],[Quantidade Comprada]]-Tabela3[[#This Row],[Quantidade Vendida]]</f>
        <v>80</v>
      </c>
      <c r="H27" t="str">
        <f>IF(Tabela3[[#This Row],[Quantidade Atual]]&lt;50,IF(Tabela3[[#This Row],[Quantidade Atual]]&lt;20,"Comprar","Atenção"),"OK")</f>
        <v>OK</v>
      </c>
    </row>
    <row r="28" spans="2:8" x14ac:dyDescent="0.3">
      <c r="B28" t="str">
        <f>cálculos!I26</f>
        <v>Vodka</v>
      </c>
      <c r="C28" s="8" t="str">
        <f>IFERROR(INDEX(Tabela2[],MATCH(Tabela3[[#This Row],[Produto]],Tabela2[Mercadoria],0),1),"")</f>
        <v/>
      </c>
      <c r="D28">
        <v>20</v>
      </c>
      <c r="E28">
        <f>SUMIF(Tabela2[Mercadoria],Tabela3[[#This Row],[Produto]],Tabela2[Quantidade])</f>
        <v>0</v>
      </c>
      <c r="F2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8">
        <f>Tabela3[[#This Row],[Quantidade Inicial]]+Tabela3[[#This Row],[Quantidade Comprada]]-Tabela3[[#This Row],[Quantidade Vendida]]</f>
        <v>20</v>
      </c>
      <c r="H28" t="str">
        <f>IF(Tabela3[[#This Row],[Quantidade Atual]]&lt;50,IF(Tabela3[[#This Row],[Quantidade Atual]]&lt;20,"Comprar","Atenção"),"OK")</f>
        <v>Atenção</v>
      </c>
    </row>
  </sheetData>
  <conditionalFormatting sqref="H5:H28">
    <cfRule type="containsText" dxfId="3" priority="1" operator="containsText" text="Atenção">
      <formula>NOT(ISERROR(SEARCH("Atenção",H5)))</formula>
    </cfRule>
    <cfRule type="containsText" dxfId="2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J11"/>
  <sheetViews>
    <sheetView showGridLines="0" workbookViewId="0">
      <selection activeCell="B8" sqref="B8"/>
    </sheetView>
  </sheetViews>
  <sheetFormatPr defaultRowHeight="14.4" x14ac:dyDescent="0.3"/>
  <cols>
    <col min="2" max="2" width="52.6640625" customWidth="1"/>
    <col min="3" max="3" width="14.5546875" customWidth="1"/>
    <col min="4" max="4" width="80.33203125" customWidth="1"/>
    <col min="5" max="5" width="21.44140625" bestFit="1" customWidth="1"/>
    <col min="6" max="6" width="12.5546875" customWidth="1"/>
  </cols>
  <sheetData>
    <row r="2" spans="1:10" s="5" customFormat="1" ht="27.9" customHeight="1" x14ac:dyDescent="0.3">
      <c r="A2" s="6"/>
      <c r="B2" s="6" t="s">
        <v>19</v>
      </c>
      <c r="C2" s="7"/>
      <c r="D2" s="7"/>
      <c r="E2" s="7"/>
      <c r="F2" s="7"/>
      <c r="H2" s="7"/>
      <c r="I2" s="7"/>
      <c r="J2" s="7"/>
    </row>
    <row r="3" spans="1:10" ht="32.25" customHeight="1" x14ac:dyDescent="0.3"/>
    <row r="4" spans="1:10" x14ac:dyDescent="0.3">
      <c r="B4" t="s">
        <v>137</v>
      </c>
      <c r="C4" t="s">
        <v>66</v>
      </c>
      <c r="D4" t="s">
        <v>139</v>
      </c>
      <c r="E4" t="s">
        <v>138</v>
      </c>
    </row>
    <row r="5" spans="1:10" ht="33.75" customHeight="1" x14ac:dyDescent="0.3">
      <c r="B5" t="s">
        <v>37</v>
      </c>
      <c r="C5" s="8">
        <v>42100</v>
      </c>
      <c r="D5" s="51" t="s">
        <v>142</v>
      </c>
      <c r="E5" s="1"/>
    </row>
    <row r="6" spans="1:10" ht="33.75" customHeight="1" x14ac:dyDescent="0.3">
      <c r="B6" t="s">
        <v>16</v>
      </c>
      <c r="D6" s="51"/>
      <c r="E6" s="1">
        <v>0</v>
      </c>
    </row>
    <row r="7" spans="1:10" ht="33.75" customHeight="1" x14ac:dyDescent="0.3">
      <c r="B7" t="s">
        <v>140</v>
      </c>
      <c r="D7" s="51"/>
      <c r="E7" s="1">
        <v>0</v>
      </c>
    </row>
    <row r="8" spans="1:10" ht="33.75" customHeight="1" x14ac:dyDescent="0.3">
      <c r="B8" t="s">
        <v>141</v>
      </c>
      <c r="D8" s="51"/>
      <c r="E8" s="1">
        <v>0</v>
      </c>
    </row>
    <row r="9" spans="1:10" ht="33.75" customHeight="1" x14ac:dyDescent="0.3">
      <c r="B9" t="s">
        <v>7</v>
      </c>
      <c r="D9" s="51"/>
      <c r="E9" s="1">
        <v>0</v>
      </c>
    </row>
    <row r="11" spans="1:10" ht="21" x14ac:dyDescent="0.4">
      <c r="B11" s="3" t="s">
        <v>153</v>
      </c>
      <c r="C11" s="52"/>
      <c r="D11" s="52"/>
      <c r="E11" s="12">
        <f>SUM(Tabela4[Valor])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B2:L26"/>
  <sheetViews>
    <sheetView showGridLines="0" workbookViewId="0">
      <selection activeCell="C23" sqref="C23"/>
    </sheetView>
  </sheetViews>
  <sheetFormatPr defaultRowHeight="14.4" x14ac:dyDescent="0.3"/>
  <cols>
    <col min="1" max="1" width="17.88671875" customWidth="1"/>
    <col min="3" max="5" width="39" customWidth="1"/>
    <col min="11" max="11" width="14.33203125" customWidth="1"/>
  </cols>
  <sheetData>
    <row r="2" spans="2:12" s="16" customFormat="1" ht="27.9" customHeight="1" x14ac:dyDescent="0.3">
      <c r="B2" s="14" t="s">
        <v>0</v>
      </c>
      <c r="D2" s="15"/>
      <c r="E2" s="15"/>
      <c r="H2" s="15"/>
      <c r="I2" s="15"/>
      <c r="J2" s="15"/>
      <c r="K2" s="15"/>
      <c r="L2" s="15"/>
    </row>
    <row r="3" spans="2:12" ht="26.25" customHeight="1" x14ac:dyDescent="0.3"/>
    <row r="4" spans="2:12" ht="15.6" x14ac:dyDescent="0.3">
      <c r="C4" s="60" t="s">
        <v>143</v>
      </c>
      <c r="D4" s="60"/>
      <c r="E4" s="61">
        <f>SUM(E5:E6)</f>
        <v>616.1038199999997</v>
      </c>
    </row>
    <row r="5" spans="2:12" ht="15.6" x14ac:dyDescent="0.3">
      <c r="C5" s="53"/>
      <c r="D5" s="60" t="s">
        <v>144</v>
      </c>
      <c r="E5" s="61">
        <f>Vendas!D18-Vendas!D27</f>
        <v>575.6038199999997</v>
      </c>
    </row>
    <row r="6" spans="2:12" ht="15.6" x14ac:dyDescent="0.3">
      <c r="C6" s="53"/>
      <c r="D6" s="62" t="s">
        <v>145</v>
      </c>
      <c r="E6" s="63">
        <f>Vendas!D27</f>
        <v>40.5</v>
      </c>
    </row>
    <row r="7" spans="2:12" ht="15.6" x14ac:dyDescent="0.3">
      <c r="C7" s="53"/>
      <c r="D7" s="53"/>
      <c r="E7" s="54"/>
    </row>
    <row r="8" spans="2:12" ht="15.6" x14ac:dyDescent="0.3">
      <c r="C8" s="53" t="s">
        <v>152</v>
      </c>
      <c r="D8" s="53"/>
      <c r="E8" s="54">
        <f>0.15*E4</f>
        <v>92.415572999999952</v>
      </c>
    </row>
    <row r="9" spans="2:12" ht="16.2" thickBot="1" x14ac:dyDescent="0.35">
      <c r="C9" s="55" t="s">
        <v>9</v>
      </c>
      <c r="D9" s="55"/>
      <c r="E9" s="56">
        <f>E4-E8</f>
        <v>523.68824699999971</v>
      </c>
    </row>
    <row r="10" spans="2:12" ht="16.2" thickTop="1" x14ac:dyDescent="0.3">
      <c r="C10" s="53"/>
      <c r="D10" s="53"/>
      <c r="E10" s="54"/>
    </row>
    <row r="11" spans="2:12" ht="15.6" x14ac:dyDescent="0.3">
      <c r="C11" s="60" t="s">
        <v>53</v>
      </c>
      <c r="D11" s="60"/>
      <c r="E11" s="61">
        <f>SUM(E12:E13)</f>
        <v>59931.9375</v>
      </c>
    </row>
    <row r="12" spans="2:12" ht="15.6" x14ac:dyDescent="0.3">
      <c r="C12" s="53"/>
      <c r="D12" s="60" t="s">
        <v>148</v>
      </c>
      <c r="E12" s="61">
        <f>'Compras Mercadorias'!I29</f>
        <v>14024.937500000002</v>
      </c>
    </row>
    <row r="13" spans="2:12" ht="15.6" x14ac:dyDescent="0.3">
      <c r="C13" s="53"/>
      <c r="D13" s="62" t="s">
        <v>43</v>
      </c>
      <c r="E13" s="63">
        <f>Despesas!G31</f>
        <v>45907</v>
      </c>
    </row>
    <row r="14" spans="2:12" ht="16.2" thickBot="1" x14ac:dyDescent="0.35">
      <c r="C14" s="55"/>
      <c r="D14" s="55"/>
      <c r="E14" s="56"/>
    </row>
    <row r="15" spans="2:12" ht="16.8" thickTop="1" thickBot="1" x14ac:dyDescent="0.35">
      <c r="C15" s="57" t="s">
        <v>149</v>
      </c>
      <c r="D15" s="57"/>
      <c r="E15" s="58">
        <f>E9-E11</f>
        <v>-59408.249253000002</v>
      </c>
    </row>
    <row r="16" spans="2:12" ht="16.2" thickTop="1" x14ac:dyDescent="0.3">
      <c r="C16" s="53"/>
      <c r="D16" s="53"/>
      <c r="E16" s="54"/>
    </row>
    <row r="17" spans="3:5" ht="15.6" x14ac:dyDescent="0.3">
      <c r="C17" s="53" t="s">
        <v>19</v>
      </c>
      <c r="D17" s="53"/>
      <c r="E17" s="54">
        <f>Investimentos!E11</f>
        <v>0</v>
      </c>
    </row>
    <row r="18" spans="3:5" ht="15.6" x14ac:dyDescent="0.3">
      <c r="C18" s="53"/>
      <c r="D18" s="53"/>
      <c r="E18" s="54"/>
    </row>
    <row r="19" spans="3:5" ht="15.6" x14ac:dyDescent="0.3">
      <c r="C19" s="53" t="s">
        <v>146</v>
      </c>
      <c r="D19" s="53"/>
      <c r="E19" s="54">
        <f>300</f>
        <v>300</v>
      </c>
    </row>
    <row r="20" spans="3:5" ht="15.6" x14ac:dyDescent="0.3">
      <c r="C20" s="53"/>
      <c r="D20" s="53"/>
      <c r="E20" s="54"/>
    </row>
    <row r="21" spans="3:5" ht="16.2" thickBot="1" x14ac:dyDescent="0.35">
      <c r="C21" s="55" t="s">
        <v>151</v>
      </c>
      <c r="D21" s="55"/>
      <c r="E21" s="56">
        <f>E15-E17-E19</f>
        <v>-59708.249253000002</v>
      </c>
    </row>
    <row r="22" spans="3:5" ht="16.2" thickTop="1" x14ac:dyDescent="0.3">
      <c r="C22" s="53"/>
      <c r="D22" s="53"/>
      <c r="E22" s="54"/>
    </row>
    <row r="23" spans="3:5" ht="15.6" x14ac:dyDescent="0.3">
      <c r="C23" s="53" t="s">
        <v>147</v>
      </c>
      <c r="D23" s="53"/>
      <c r="E23" s="54">
        <f>IF(E21&gt;1000,(E21-1000)*0.3,0)</f>
        <v>0</v>
      </c>
    </row>
    <row r="24" spans="3:5" ht="15.6" x14ac:dyDescent="0.3">
      <c r="C24" s="53"/>
      <c r="D24" s="53"/>
      <c r="E24" s="53"/>
    </row>
    <row r="25" spans="3:5" ht="16.2" thickBot="1" x14ac:dyDescent="0.35">
      <c r="C25" s="55" t="s">
        <v>150</v>
      </c>
      <c r="D25" s="55"/>
      <c r="E25" s="59">
        <f>E21-E23</f>
        <v>-59708.249253000002</v>
      </c>
    </row>
    <row r="26" spans="3:5" ht="15" thickTop="1" x14ac:dyDescent="0.3"/>
  </sheetData>
  <conditionalFormatting sqref="G8 E15 E21 E25">
    <cfRule type="cellIs" dxfId="1" priority="2" operator="lessThan">
      <formula>0</formula>
    </cfRule>
  </conditionalFormatting>
  <conditionalFormatting sqref="E15 E21 E25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2:K50"/>
  <sheetViews>
    <sheetView showGridLines="0" workbookViewId="0"/>
  </sheetViews>
  <sheetFormatPr defaultRowHeight="14.4" x14ac:dyDescent="0.3"/>
  <cols>
    <col min="1" max="1" width="18.109375" customWidth="1"/>
    <col min="2" max="2" width="13.5546875" customWidth="1"/>
    <col min="3" max="3" width="28.109375" customWidth="1"/>
    <col min="4" max="4" width="22.6640625" bestFit="1" customWidth="1"/>
    <col min="5" max="5" width="8.88671875" customWidth="1"/>
    <col min="6" max="6" width="11.88671875" customWidth="1"/>
    <col min="7" max="7" width="16.109375" bestFit="1" customWidth="1"/>
    <col min="8" max="8" width="13" customWidth="1"/>
    <col min="9" max="9" width="17.109375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1" s="16" customFormat="1" ht="27.9" customHeight="1" x14ac:dyDescent="0.3">
      <c r="A2" s="14"/>
      <c r="B2" s="14" t="s">
        <v>8</v>
      </c>
      <c r="C2" s="15"/>
      <c r="D2" s="15"/>
      <c r="G2" s="15"/>
      <c r="H2" s="15"/>
      <c r="I2" s="15"/>
      <c r="J2" s="15"/>
      <c r="K2" s="15"/>
    </row>
    <row r="3" spans="1:11" ht="26.25" customHeight="1" x14ac:dyDescent="0.3"/>
    <row r="4" spans="1:11" ht="17.25" customHeight="1" thickBot="1" x14ac:dyDescent="0.45">
      <c r="K4" s="37" t="s">
        <v>128</v>
      </c>
    </row>
    <row r="5" spans="1:11" ht="18" customHeight="1" thickTop="1" x14ac:dyDescent="0.3"/>
    <row r="6" spans="1:11" x14ac:dyDescent="0.3">
      <c r="B6" s="30"/>
      <c r="C6" s="22"/>
      <c r="D6" s="22"/>
      <c r="E6" s="22"/>
      <c r="F6" s="22"/>
      <c r="G6" s="22"/>
      <c r="H6" s="22"/>
      <c r="I6" s="22"/>
      <c r="J6" s="22"/>
      <c r="K6" s="31"/>
    </row>
    <row r="7" spans="1:11" x14ac:dyDescent="0.3">
      <c r="B7" s="32"/>
      <c r="K7" s="33"/>
    </row>
    <row r="8" spans="1:11" x14ac:dyDescent="0.3">
      <c r="B8" s="32"/>
      <c r="K8" s="33"/>
    </row>
    <row r="9" spans="1:11" x14ac:dyDescent="0.3">
      <c r="B9" s="32"/>
      <c r="K9" s="33"/>
    </row>
    <row r="10" spans="1:11" ht="18" x14ac:dyDescent="0.35">
      <c r="B10" s="32"/>
      <c r="C10" s="39" t="s">
        <v>116</v>
      </c>
      <c r="D10" s="40">
        <f>'Sem1'!L32</f>
        <v>613.91881999999976</v>
      </c>
      <c r="K10" s="33"/>
    </row>
    <row r="11" spans="1:11" ht="18" x14ac:dyDescent="0.35">
      <c r="B11" s="32"/>
      <c r="C11" s="41" t="s">
        <v>117</v>
      </c>
      <c r="D11" s="42">
        <f>'Sem2'!L32</f>
        <v>2.1849999999999996</v>
      </c>
      <c r="K11" s="33"/>
    </row>
    <row r="12" spans="1:11" ht="18" x14ac:dyDescent="0.35">
      <c r="B12" s="32"/>
      <c r="C12" s="41" t="s">
        <v>118</v>
      </c>
      <c r="D12" s="42">
        <f>'Sem3'!L32</f>
        <v>0</v>
      </c>
      <c r="K12" s="33"/>
    </row>
    <row r="13" spans="1:11" ht="18" x14ac:dyDescent="0.35">
      <c r="B13" s="32"/>
      <c r="C13" s="41" t="s">
        <v>119</v>
      </c>
      <c r="D13" s="42">
        <f>'Sem4'!L32</f>
        <v>0</v>
      </c>
      <c r="K13" s="33"/>
    </row>
    <row r="14" spans="1:11" ht="18" x14ac:dyDescent="0.35">
      <c r="B14" s="32"/>
      <c r="C14" s="43" t="s">
        <v>120</v>
      </c>
      <c r="D14" s="44">
        <f>'Sem5'!L32</f>
        <v>0</v>
      </c>
      <c r="K14" s="33"/>
    </row>
    <row r="15" spans="1:11" ht="18" x14ac:dyDescent="0.35">
      <c r="B15" s="32"/>
      <c r="C15" s="38"/>
      <c r="D15" s="38"/>
      <c r="K15" s="33"/>
    </row>
    <row r="16" spans="1:11" ht="18" x14ac:dyDescent="0.35">
      <c r="B16" s="32"/>
      <c r="C16" s="38"/>
      <c r="D16" s="38"/>
      <c r="K16" s="33"/>
    </row>
    <row r="17" spans="2:11" ht="18" x14ac:dyDescent="0.35">
      <c r="B17" s="32"/>
      <c r="C17" s="38"/>
      <c r="D17" s="38"/>
      <c r="K17" s="33"/>
    </row>
    <row r="18" spans="2:11" ht="18" x14ac:dyDescent="0.35">
      <c r="B18" s="32"/>
      <c r="C18" s="45" t="s">
        <v>129</v>
      </c>
      <c r="D18" s="46">
        <f>SUM(D10:D14)</f>
        <v>616.1038199999997</v>
      </c>
      <c r="K18" s="33"/>
    </row>
    <row r="19" spans="2:11" x14ac:dyDescent="0.3">
      <c r="B19" s="32"/>
      <c r="K19" s="33"/>
    </row>
    <row r="20" spans="2:11" x14ac:dyDescent="0.3">
      <c r="B20" s="34"/>
      <c r="C20" s="35"/>
      <c r="D20" s="35"/>
      <c r="E20" s="35"/>
      <c r="F20" s="35"/>
      <c r="G20" s="35"/>
      <c r="H20" s="35"/>
      <c r="I20" s="35"/>
      <c r="J20" s="35"/>
      <c r="K20" s="36"/>
    </row>
    <row r="23" spans="2:11" x14ac:dyDescent="0.3">
      <c r="B23" s="30"/>
      <c r="C23" s="22"/>
      <c r="D23" s="22"/>
      <c r="E23" s="22"/>
      <c r="F23" s="22"/>
      <c r="G23" s="22"/>
      <c r="H23" s="22"/>
      <c r="I23" s="22"/>
      <c r="J23" s="22"/>
      <c r="K23" s="31"/>
    </row>
    <row r="24" spans="2:11" x14ac:dyDescent="0.3">
      <c r="B24" s="32"/>
      <c r="K24" s="33"/>
    </row>
    <row r="25" spans="2:11" ht="18" x14ac:dyDescent="0.35">
      <c r="B25" s="32"/>
      <c r="C25" s="39" t="s">
        <v>130</v>
      </c>
      <c r="D25" s="48">
        <f>(COUNTIF(Tabela46[Valor da Entrega],"&gt;0")+COUNTIF(Tabela47[Valor da Entrega],"&gt;0")+COUNTIF(Tabela48[Valor da Entrega],"&gt;0")+COUNTIF(Tabela48[Valor da Entrega],"&gt;0")+COUNTIF(Tabela4811[Valor da Entrega],"&gt;0")+COUNTIF(Tabela4812[Valor da Entrega],"&gt;0"))/SUM('Sem1'!L33,'Sem2'!L33,'Sem3'!L33,'Sem4'!L33,'Sem5'!L33)</f>
        <v>0.42857142857142855</v>
      </c>
      <c r="K25" s="33"/>
    </row>
    <row r="26" spans="2:11" ht="18" x14ac:dyDescent="0.35">
      <c r="B26" s="32"/>
      <c r="C26" s="41" t="s">
        <v>131</v>
      </c>
      <c r="D26" s="42">
        <f>SUMIF(Tabela46[Valor da Entrega],"&gt;0",Tabela46[Total Cliente])+SUMIF(Tabela47[Valor da Entrega],"&gt;0",Tabela47[Total Cliente])+SUMIF(Tabela48[Valor da Entrega],"&gt;0",Tabela48[Total Cliente])+SUMIF(Tabela4811[Valor da Entrega],"&gt;0",Tabela4811[Total Cliente])+SUMIF(Tabela4812[Valor da Entrega],"&gt;0",Tabela4812[Total Cliente])</f>
        <v>311.15982000000002</v>
      </c>
      <c r="K26" s="33"/>
    </row>
    <row r="27" spans="2:11" ht="18" x14ac:dyDescent="0.35">
      <c r="B27" s="32"/>
      <c r="C27" s="43" t="s">
        <v>132</v>
      </c>
      <c r="D27" s="44">
        <f>SUM('Sem1'!L31,'Sem2'!L31,'Sem3'!L31,'Sem4'!L31,'Sem5'!L31)</f>
        <v>40.5</v>
      </c>
      <c r="K27" s="33"/>
    </row>
    <row r="28" spans="2:11" x14ac:dyDescent="0.3">
      <c r="B28" s="32"/>
      <c r="K28" s="33"/>
    </row>
    <row r="29" spans="2:11" x14ac:dyDescent="0.3">
      <c r="B29" s="32"/>
      <c r="K29" s="33"/>
    </row>
    <row r="30" spans="2:11" x14ac:dyDescent="0.3">
      <c r="B30" s="32"/>
      <c r="K30" s="33"/>
    </row>
    <row r="31" spans="2:11" ht="18" x14ac:dyDescent="0.35">
      <c r="B31" s="32"/>
      <c r="C31" s="45" t="s">
        <v>121</v>
      </c>
      <c r="D31" s="46">
        <f>SUM('Sem1'!L32,'Sem2'!L32,'Sem3'!L32,'Sem4'!L32,'Sem5'!L32)/SUM('Sem1'!L33,'Sem2'!L33,'Sem3'!L33,'Sem4'!L33,'Sem5'!L33)</f>
        <v>44.007415714285692</v>
      </c>
      <c r="K31" s="33"/>
    </row>
    <row r="32" spans="2:11" x14ac:dyDescent="0.3">
      <c r="B32" s="32"/>
      <c r="K32" s="33"/>
    </row>
    <row r="33" spans="2:11" x14ac:dyDescent="0.3">
      <c r="B33" s="32"/>
      <c r="K33" s="33"/>
    </row>
    <row r="34" spans="2:11" x14ac:dyDescent="0.3">
      <c r="B34" s="34"/>
      <c r="C34" s="35"/>
      <c r="D34" s="35"/>
      <c r="E34" s="35"/>
      <c r="F34" s="35"/>
      <c r="G34" s="35"/>
      <c r="H34" s="35"/>
      <c r="I34" s="35"/>
      <c r="J34" s="35"/>
      <c r="K34" s="36"/>
    </row>
    <row r="37" spans="2:11" x14ac:dyDescent="0.3">
      <c r="B37" s="30"/>
      <c r="C37" s="22"/>
      <c r="D37" s="22"/>
      <c r="E37" s="22"/>
      <c r="F37" s="22"/>
      <c r="G37" s="22"/>
      <c r="H37" s="22"/>
      <c r="I37" s="22"/>
      <c r="J37" s="22"/>
      <c r="K37" s="31"/>
    </row>
    <row r="38" spans="2:11" x14ac:dyDescent="0.3">
      <c r="B38" s="32"/>
      <c r="F38" s="28"/>
      <c r="H38" s="28"/>
      <c r="K38" s="33"/>
    </row>
    <row r="39" spans="2:11" ht="18" x14ac:dyDescent="0.35">
      <c r="B39" s="32"/>
      <c r="C39" s="45" t="s">
        <v>122</v>
      </c>
      <c r="F39" s="28"/>
      <c r="K39" s="33"/>
    </row>
    <row r="40" spans="2:11" x14ac:dyDescent="0.3">
      <c r="B40" s="32"/>
      <c r="K40" s="33"/>
    </row>
    <row r="41" spans="2:11" x14ac:dyDescent="0.3">
      <c r="B41" s="32"/>
      <c r="K41" s="33"/>
    </row>
    <row r="42" spans="2:11" ht="18" x14ac:dyDescent="0.35">
      <c r="B42" s="32"/>
      <c r="D42" s="39" t="s">
        <v>135</v>
      </c>
      <c r="K42" s="33"/>
    </row>
    <row r="43" spans="2:11" ht="18" x14ac:dyDescent="0.35">
      <c r="B43" s="32"/>
      <c r="C43" s="39" t="s">
        <v>102</v>
      </c>
      <c r="D43" s="39">
        <f>COUNTIFS(Tabela46[Entrega],Vendas!$C43,Tabela46[Total Cliente],"&gt;0")+COUNTIFS(Tabela47[Entrega],Vendas!$C43,Tabela47[Total Cliente],"&gt;0")+COUNTIFS(Tabela48[Entrega],Vendas!$C43,Tabela48[Total Cliente],"&gt;0")+COUNTIFS(Tabela4811[Entrega],Vendas!$C43,Tabela4811[Total Cliente],"&gt;0")+COUNTIFS(Tabela4812[Entrega],Vendas!$C43,Tabela4812[Total Cliente],"&gt;0")</f>
        <v>0</v>
      </c>
      <c r="K43" s="33"/>
    </row>
    <row r="44" spans="2:11" ht="18" x14ac:dyDescent="0.35">
      <c r="B44" s="32"/>
      <c r="C44" s="41" t="s">
        <v>106</v>
      </c>
      <c r="D44" s="41">
        <f>COUNTIFS(Tabela46[Entrega],Vendas!$C44,Tabela46[Total Cliente],"&gt;0")+COUNTIFS(Tabela47[Entrega],Vendas!$C44,Tabela47[Total Cliente],"&gt;0")+COUNTIFS(Tabela48[Entrega],Vendas!$C44,Tabela48[Total Cliente],"&gt;0")+COUNTIFS(Tabela4811[Entrega],Vendas!$C44,Tabela4811[Total Cliente],"&gt;0")+COUNTIFS(Tabela4812[Entrega],Vendas!$C44,Tabela4812[Total Cliente],"&gt;0")</f>
        <v>8</v>
      </c>
      <c r="K44" s="33"/>
    </row>
    <row r="45" spans="2:11" ht="18" x14ac:dyDescent="0.35">
      <c r="B45" s="32"/>
      <c r="C45" s="41" t="s">
        <v>101</v>
      </c>
      <c r="D45" s="41">
        <f>COUNTIFS(Tabela46[Entrega],Vendas!$C45,Tabela46[Total Cliente],"&gt;0")+COUNTIFS(Tabela47[Entrega],Vendas!$C45,Tabela47[Total Cliente],"&gt;0")+COUNTIFS(Tabela48[Entrega],Vendas!$C45,Tabela48[Total Cliente],"&gt;0")+COUNTIFS(Tabela4811[Entrega],Vendas!$C45,Tabela4811[Total Cliente],"&gt;0")+COUNTIFS(Tabela4812[Entrega],Vendas!$C45,Tabela4812[Total Cliente],"&gt;0")</f>
        <v>2</v>
      </c>
      <c r="K45" s="33"/>
    </row>
    <row r="46" spans="2:11" ht="18" x14ac:dyDescent="0.35">
      <c r="B46" s="32"/>
      <c r="C46" s="41" t="s">
        <v>103</v>
      </c>
      <c r="D46" s="41">
        <f>COUNTIFS(Tabela46[Entrega],Vendas!$C46,Tabela46[Total Cliente],"&gt;0")+COUNTIFS(Tabela47[Entrega],Vendas!$C46,Tabela47[Total Cliente],"&gt;0")+COUNTIFS(Tabela48[Entrega],Vendas!$C46,Tabela48[Total Cliente],"&gt;0")+COUNTIFS(Tabela4811[Entrega],Vendas!$C46,Tabela4811[Total Cliente],"&gt;0")+COUNTIFS(Tabela4812[Entrega],Vendas!$C46,Tabela4812[Total Cliente],"&gt;0")</f>
        <v>1</v>
      </c>
      <c r="K46" s="33"/>
    </row>
    <row r="47" spans="2:11" ht="18" x14ac:dyDescent="0.35">
      <c r="B47" s="32"/>
      <c r="C47" s="43" t="s">
        <v>104</v>
      </c>
      <c r="D47" s="43">
        <f>COUNTIFS(Tabela46[Entrega],Vendas!$C47,Tabela46[Total Cliente],"&gt;0")+COUNTIFS(Tabela47[Entrega],Vendas!$C47,Tabela47[Total Cliente],"&gt;0")+COUNTIFS(Tabela48[Entrega],Vendas!$C47,Tabela48[Total Cliente],"&gt;0")+COUNTIFS(Tabela4811[Entrega],Vendas!$C47,Tabela4811[Total Cliente],"&gt;0")+COUNTIFS(Tabela4812[Entrega],Vendas!$C47,Tabela4812[Total Cliente],"&gt;0")</f>
        <v>3</v>
      </c>
      <c r="K47" s="33"/>
    </row>
    <row r="48" spans="2:11" x14ac:dyDescent="0.3">
      <c r="B48" s="32"/>
      <c r="K48" s="33"/>
    </row>
    <row r="49" spans="2:11" x14ac:dyDescent="0.3">
      <c r="B49" s="32"/>
      <c r="K49" s="33"/>
    </row>
    <row r="50" spans="2:11" x14ac:dyDescent="0.3">
      <c r="B50" s="34"/>
      <c r="C50" s="35"/>
      <c r="D50" s="35"/>
      <c r="E50" s="35"/>
      <c r="F50" s="35"/>
      <c r="G50" s="35"/>
      <c r="H50" s="35"/>
      <c r="I50" s="35"/>
      <c r="J50" s="35"/>
      <c r="K50" s="3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0"/>
  <dimension ref="A2:M33"/>
  <sheetViews>
    <sheetView showGridLines="0" topLeftCell="A10" workbookViewId="0">
      <selection activeCell="C29" sqref="C29"/>
    </sheetView>
  </sheetViews>
  <sheetFormatPr defaultRowHeight="14.4" x14ac:dyDescent="0.3"/>
  <cols>
    <col min="1" max="1" width="21.5546875" customWidth="1"/>
    <col min="2" max="2" width="13.5546875" customWidth="1"/>
    <col min="3" max="3" width="16.109375" bestFit="1" customWidth="1"/>
    <col min="4" max="4" width="16.6640625" customWidth="1"/>
    <col min="5" max="5" width="13.5546875" customWidth="1"/>
    <col min="6" max="6" width="15.6640625" customWidth="1"/>
    <col min="7" max="7" width="16.109375" bestFit="1" customWidth="1"/>
    <col min="8" max="9" width="13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3" s="16" customFormat="1" ht="27.9" customHeight="1" x14ac:dyDescent="0.3">
      <c r="A2" s="14"/>
      <c r="B2" s="14" t="s">
        <v>109</v>
      </c>
      <c r="C2" s="15"/>
      <c r="D2" s="15"/>
      <c r="G2" s="15"/>
      <c r="H2" s="15"/>
      <c r="I2" s="15"/>
      <c r="J2" s="15"/>
      <c r="K2" s="15"/>
    </row>
    <row r="3" spans="1:13" ht="32.25" customHeight="1" x14ac:dyDescent="0.3"/>
    <row r="4" spans="1:13" x14ac:dyDescent="0.3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3">
      <c r="B5">
        <v>13</v>
      </c>
      <c r="C5" s="17">
        <v>45478</v>
      </c>
      <c r="D5" t="s">
        <v>33</v>
      </c>
      <c r="E5" t="str">
        <f>IFERROR(VLOOKUP(Tabela46[[#This Row],[Produtos]],cálculos!$I$3:$L$26,4,0),"")</f>
        <v>Pacote</v>
      </c>
      <c r="F5">
        <v>10</v>
      </c>
      <c r="G5" s="1">
        <f>IFERROR(VLOOKUP(Tabela46[[#This Row],[Produtos]],cálculos!$I$3:$L$26,2,0),0)</f>
        <v>1.0580000000000001</v>
      </c>
      <c r="H5" s="1">
        <f>Tabela46[[#This Row],[Preço Unitário]]*Tabela46[[#This Row],[Quantidade]]</f>
        <v>10.58</v>
      </c>
      <c r="I5" s="9"/>
      <c r="J5" t="s">
        <v>104</v>
      </c>
      <c r="K5" s="1">
        <f>IFERROR(IF(Tabela46[[#This Row],[Id da Venda]]=B6,0,VLOOKUP(Tabela46[[#This Row],[Entrega]],cálculos!$B$3:$C$7,2,0)),0)</f>
        <v>0</v>
      </c>
      <c r="L5" s="1">
        <f>Tabela46[[#This Row],[SubTotal]]*(1-Tabela46[[#This Row],[Desconto]])+Tabela46[[#This Row],[Valor da Entrega]]</f>
        <v>10.58</v>
      </c>
      <c r="M5" s="1" t="str">
        <f>IF(Tabela46[[#This Row],[Id da Venda]]=B6,"",SUMIF(Tabela46[Id da Venda],Tabela46[[#This Row],[Id da Venda]],Tabela46[Total]))</f>
        <v/>
      </c>
    </row>
    <row r="6" spans="1:13" x14ac:dyDescent="0.3">
      <c r="B6">
        <v>13</v>
      </c>
      <c r="C6" s="17">
        <v>45478</v>
      </c>
      <c r="D6" t="s">
        <v>38</v>
      </c>
      <c r="E6" t="str">
        <f>IFERROR(VLOOKUP(Tabela46[[#This Row],[Produtos]],cálculos!$I$3:$L$26,4,0),"")</f>
        <v>Pacote</v>
      </c>
      <c r="F6">
        <v>1</v>
      </c>
      <c r="G6" s="1">
        <f>IFERROR(VLOOKUP(Tabela46[[#This Row],[Produtos]],cálculos!$I$3:$L$26,2,0),0)</f>
        <v>0.74260000000000004</v>
      </c>
      <c r="H6" s="1">
        <f>Tabela46[[#This Row],[Preço Unitário]]*Tabela46[[#This Row],[Quantidade]]</f>
        <v>0.74260000000000004</v>
      </c>
      <c r="I6" s="9"/>
      <c r="J6" t="s">
        <v>104</v>
      </c>
      <c r="K6" s="1">
        <f>IFERROR(IF(Tabela46[[#This Row],[Id da Venda]]=B7,0,VLOOKUP(Tabela46[[#This Row],[Entrega]],cálculos!$B$3:$C$7,2,0)),0)</f>
        <v>0</v>
      </c>
      <c r="L6" s="1">
        <f>Tabela46[[#This Row],[SubTotal]]*(1-Tabela46[[#This Row],[Desconto]])+Tabela46[[#This Row],[Valor da Entrega]]</f>
        <v>0.74260000000000004</v>
      </c>
      <c r="M6" s="1" t="str">
        <f>IF(Tabela46[[#This Row],[Id da Venda]]=B7,"",SUMIF(Tabela46[Id da Venda],Tabela46[[#This Row],[Id da Venda]],Tabela46[Total]))</f>
        <v/>
      </c>
    </row>
    <row r="7" spans="1:13" x14ac:dyDescent="0.3">
      <c r="B7">
        <v>13</v>
      </c>
      <c r="C7" s="17">
        <v>45478</v>
      </c>
      <c r="D7" t="s">
        <v>25</v>
      </c>
      <c r="E7" t="str">
        <f>IFERROR(VLOOKUP(Tabela46[[#This Row],[Produtos]],cálculos!$I$3:$L$26,4,0),"")</f>
        <v>Kg</v>
      </c>
      <c r="F7">
        <v>10</v>
      </c>
      <c r="G7" s="1">
        <f>IFERROR(VLOOKUP(Tabela46[[#This Row],[Produtos]],cálculos!$I$3:$L$26,2,0),0)</f>
        <v>14.469000000000001</v>
      </c>
      <c r="H7" s="1">
        <f>Tabela46[[#This Row],[Preço Unitário]]*Tabela46[[#This Row],[Quantidade]]</f>
        <v>144.69</v>
      </c>
      <c r="I7" s="9">
        <v>0.05</v>
      </c>
      <c r="J7" t="s">
        <v>104</v>
      </c>
      <c r="K7" s="1">
        <f>IFERROR(IF(Tabela46[[#This Row],[Id da Venda]]=B8,0,VLOOKUP(Tabela46[[#This Row],[Entrega]],cálculos!$B$3:$C$7,2,0)),0)</f>
        <v>0</v>
      </c>
      <c r="L7" s="1">
        <f>Tabela46[[#This Row],[SubTotal]]*(1-Tabela46[[#This Row],[Desconto]])+Tabela46[[#This Row],[Valor da Entrega]]</f>
        <v>137.4555</v>
      </c>
      <c r="M7" s="1" t="str">
        <f>IF(Tabela46[[#This Row],[Id da Venda]]=B8,"",SUMIF(Tabela46[Id da Venda],Tabela46[[#This Row],[Id da Venda]],Tabela46[Total]))</f>
        <v/>
      </c>
    </row>
    <row r="8" spans="1:13" x14ac:dyDescent="0.3">
      <c r="B8">
        <v>13</v>
      </c>
      <c r="C8" s="17">
        <v>45478</v>
      </c>
      <c r="D8" t="s">
        <v>34</v>
      </c>
      <c r="E8" t="str">
        <f>IFERROR(VLOOKUP(Tabela46[[#This Row],[Produtos]],cálculos!$I$3:$L$26,4,0),"")</f>
        <v>Lata</v>
      </c>
      <c r="F8">
        <v>24</v>
      </c>
      <c r="G8" s="1">
        <f>IFERROR(VLOOKUP(Tabela46[[#This Row],[Produtos]],cálculos!$I$3:$L$26,2,0),0)</f>
        <v>2.1023999999999998</v>
      </c>
      <c r="H8" s="1">
        <f>Tabela46[[#This Row],[Preço Unitário]]*Tabela46[[#This Row],[Quantidade]]</f>
        <v>50.457599999999999</v>
      </c>
      <c r="I8" s="9">
        <v>0.05</v>
      </c>
      <c r="J8" t="s">
        <v>104</v>
      </c>
      <c r="K8" s="1">
        <f>IFERROR(IF(Tabela46[[#This Row],[Id da Venda]]=B9,0,VLOOKUP(Tabela46[[#This Row],[Entrega]],cálculos!$B$3:$C$7,2,0)),0)</f>
        <v>6.5</v>
      </c>
      <c r="L8" s="1">
        <f>Tabela46[[#This Row],[SubTotal]]*(1-Tabela46[[#This Row],[Desconto]])+Tabela46[[#This Row],[Valor da Entrega]]</f>
        <v>54.434719999999999</v>
      </c>
      <c r="M8" s="1">
        <f>IF(Tabela46[[#This Row],[Id da Venda]]=B9,"",SUMIF(Tabela46[Id da Venda],Tabela46[[#This Row],[Id da Venda]],Tabela46[Total]))</f>
        <v>203.21281999999999</v>
      </c>
    </row>
    <row r="9" spans="1:13" x14ac:dyDescent="0.3">
      <c r="B9">
        <v>12</v>
      </c>
      <c r="C9" s="17">
        <v>45477</v>
      </c>
      <c r="D9" t="s">
        <v>34</v>
      </c>
      <c r="E9" t="str">
        <f>IFERROR(VLOOKUP(Tabela46[[#This Row],[Produtos]],cálculos!$I$3:$L$26,4,0),"")</f>
        <v>Lata</v>
      </c>
      <c r="F9">
        <v>1</v>
      </c>
      <c r="G9" s="1">
        <f>IFERROR(VLOOKUP(Tabela46[[#This Row],[Produtos]],cálculos!$I$3:$L$26,2,0),0)</f>
        <v>2.1023999999999998</v>
      </c>
      <c r="H9" s="1">
        <f>Tabela46[[#This Row],[Preço Unitário]]*Tabela46[[#This Row],[Quantidade]]</f>
        <v>2.1023999999999998</v>
      </c>
      <c r="I9" s="9"/>
      <c r="J9" t="s">
        <v>106</v>
      </c>
      <c r="K9" s="1">
        <f>IFERROR(IF(Tabela46[[#This Row],[Id da Venda]]=B10,0,VLOOKUP(Tabela46[[#This Row],[Entrega]],cálculos!$B$3:$C$7,2,0)),0)</f>
        <v>0</v>
      </c>
      <c r="L9" s="1">
        <f>Tabela46[[#This Row],[SubTotal]]*(1-Tabela46[[#This Row],[Desconto]])+Tabela46[[#This Row],[Valor da Entrega]]</f>
        <v>2.1023999999999998</v>
      </c>
      <c r="M9" s="1">
        <f>IF(Tabela46[[#This Row],[Id da Venda]]=B10,"",SUMIF(Tabela46[Id da Venda],Tabela46[[#This Row],[Id da Venda]],Tabela46[Total]))</f>
        <v>2.1023999999999998</v>
      </c>
    </row>
    <row r="10" spans="1:13" x14ac:dyDescent="0.3">
      <c r="B10">
        <v>11</v>
      </c>
      <c r="C10" s="17">
        <v>45477</v>
      </c>
      <c r="D10" t="s">
        <v>34</v>
      </c>
      <c r="E10" t="str">
        <f>IFERROR(VLOOKUP(Tabela46[[#This Row],[Produtos]],cálculos!$I$3:$L$26,4,0),"")</f>
        <v>Lata</v>
      </c>
      <c r="F10">
        <v>10</v>
      </c>
      <c r="G10" s="1">
        <f>IFERROR(VLOOKUP(Tabela46[[#This Row],[Produtos]],cálculos!$I$3:$L$26,2,0),0)</f>
        <v>2.1023999999999998</v>
      </c>
      <c r="H10" s="1">
        <f>Tabela46[[#This Row],[Preço Unitário]]*Tabela46[[#This Row],[Quantidade]]</f>
        <v>21.023999999999997</v>
      </c>
      <c r="I10" s="9"/>
      <c r="J10" t="s">
        <v>106</v>
      </c>
      <c r="K10" s="1">
        <f>IFERROR(IF(Tabela46[[#This Row],[Id da Venda]]=B11,0,VLOOKUP(Tabela46[[#This Row],[Entrega]],cálculos!$B$3:$C$7,2,0)),0)</f>
        <v>0</v>
      </c>
      <c r="L10" s="1">
        <f>Tabela46[[#This Row],[SubTotal]]*(1-Tabela46[[#This Row],[Desconto]])+Tabela46[[#This Row],[Valor da Entrega]]</f>
        <v>21.023999999999997</v>
      </c>
      <c r="M10" s="1">
        <f>IF(Tabela46[[#This Row],[Id da Venda]]=B11,"",SUMIF(Tabela46[Id da Venda],Tabela46[[#This Row],[Id da Venda]],Tabela46[Total]))</f>
        <v>21.023999999999997</v>
      </c>
    </row>
    <row r="11" spans="1:13" x14ac:dyDescent="0.3">
      <c r="B11">
        <v>10</v>
      </c>
      <c r="C11" s="17">
        <v>45477</v>
      </c>
      <c r="D11" t="s">
        <v>22</v>
      </c>
      <c r="E11" t="str">
        <f>IFERROR(VLOOKUP(Tabela46[[#This Row],[Produtos]],cálculos!$I$3:$L$26,4,0),"")</f>
        <v>Kg</v>
      </c>
      <c r="F11">
        <v>6</v>
      </c>
      <c r="G11" s="1">
        <f>IFERROR(VLOOKUP(Tabela46[[#This Row],[Produtos]],cálculos!$I$3:$L$26,2,0),0)</f>
        <v>4.0659999999999998</v>
      </c>
      <c r="H11" s="1">
        <f>Tabela46[[#This Row],[Preço Unitário]]*Tabela46[[#This Row],[Quantidade]]</f>
        <v>24.396000000000001</v>
      </c>
      <c r="I11" s="9"/>
      <c r="J11" t="s">
        <v>106</v>
      </c>
      <c r="K11" s="1">
        <f>IFERROR(IF(Tabela46[[#This Row],[Id da Venda]]=B12,0,VLOOKUP(Tabela46[[#This Row],[Entrega]],cálculos!$B$3:$C$7,2,0)),0)</f>
        <v>0</v>
      </c>
      <c r="L11" s="1">
        <f>Tabela46[[#This Row],[SubTotal]]*(1-Tabela46[[#This Row],[Desconto]])+Tabela46[[#This Row],[Valor da Entrega]]</f>
        <v>24.396000000000001</v>
      </c>
      <c r="M11" s="1" t="str">
        <f>IF(Tabela46[[#This Row],[Id da Venda]]=B12,"",SUMIF(Tabela46[Id da Venda],Tabela46[[#This Row],[Id da Venda]],Tabela46[Total]))</f>
        <v/>
      </c>
    </row>
    <row r="12" spans="1:13" x14ac:dyDescent="0.3">
      <c r="B12">
        <v>10</v>
      </c>
      <c r="C12" s="17">
        <v>45477</v>
      </c>
      <c r="D12" t="s">
        <v>89</v>
      </c>
      <c r="E12" t="str">
        <f>IFERROR(VLOOKUP(Tabela46[[#This Row],[Produtos]],cálculos!$I$3:$L$26,4,0),"")</f>
        <v>Litro</v>
      </c>
      <c r="F12">
        <v>4</v>
      </c>
      <c r="G12" s="1">
        <f>IFERROR(VLOOKUP(Tabela46[[#This Row],[Produtos]],cálculos!$I$3:$L$26,2,0),0)</f>
        <v>2.1749000000000001</v>
      </c>
      <c r="H12" s="1">
        <f>Tabela46[[#This Row],[Preço Unitário]]*Tabela46[[#This Row],[Quantidade]]</f>
        <v>8.6996000000000002</v>
      </c>
      <c r="I12" s="9"/>
      <c r="J12" t="s">
        <v>106</v>
      </c>
      <c r="K12" s="1">
        <f>IFERROR(IF(Tabela46[[#This Row],[Id da Venda]]=B13,0,VLOOKUP(Tabela46[[#This Row],[Entrega]],cálculos!$B$3:$C$7,2,0)),0)</f>
        <v>0</v>
      </c>
      <c r="L12" s="1">
        <f>Tabela46[[#This Row],[SubTotal]]*(1-Tabela46[[#This Row],[Desconto]])+Tabela46[[#This Row],[Valor da Entrega]]</f>
        <v>8.6996000000000002</v>
      </c>
      <c r="M12" s="1">
        <f>IF(Tabela46[[#This Row],[Id da Venda]]=B13,"",SUMIF(Tabela46[Id da Venda],Tabela46[[#This Row],[Id da Venda]],Tabela46[Total]))</f>
        <v>33.095600000000005</v>
      </c>
    </row>
    <row r="13" spans="1:13" x14ac:dyDescent="0.3">
      <c r="B13">
        <v>9</v>
      </c>
      <c r="C13" s="17">
        <v>45476</v>
      </c>
      <c r="D13" t="s">
        <v>90</v>
      </c>
      <c r="E13" t="str">
        <f>IFERROR(VLOOKUP(Tabela46[[#This Row],[Produtos]],cálculos!$I$3:$L$26,4,0),"")</f>
        <v>Unidade</v>
      </c>
      <c r="F13">
        <v>5</v>
      </c>
      <c r="G13" s="1">
        <f>IFERROR(VLOOKUP(Tabela46[[#This Row],[Produtos]],cálculos!$I$3:$L$26,2,0),0)</f>
        <v>2.6299000000000001</v>
      </c>
      <c r="H13" s="1">
        <f>Tabela46[[#This Row],[Preço Unitário]]*Tabela46[[#This Row],[Quantidade]]</f>
        <v>13.1495</v>
      </c>
      <c r="I13" s="9"/>
      <c r="J13" t="s">
        <v>106</v>
      </c>
      <c r="K13" s="1">
        <f>IFERROR(IF(Tabela46[[#This Row],[Id da Venda]]=B14,0,VLOOKUP(Tabela46[[#This Row],[Entrega]],cálculos!$B$3:$C$7,2,0)),0)</f>
        <v>0</v>
      </c>
      <c r="L13" s="1">
        <f>Tabela46[[#This Row],[SubTotal]]*(1-Tabela46[[#This Row],[Desconto]])+Tabela46[[#This Row],[Valor da Entrega]]</f>
        <v>13.1495</v>
      </c>
      <c r="M13" s="1" t="str">
        <f>IF(Tabela46[[#This Row],[Id da Venda]]=B14,"",SUMIF(Tabela46[Id da Venda],Tabela46[[#This Row],[Id da Venda]],Tabela46[Total]))</f>
        <v/>
      </c>
    </row>
    <row r="14" spans="1:13" x14ac:dyDescent="0.3">
      <c r="B14">
        <v>9</v>
      </c>
      <c r="C14" s="17">
        <v>45476</v>
      </c>
      <c r="D14" t="s">
        <v>32</v>
      </c>
      <c r="E14" t="str">
        <f>IFERROR(VLOOKUP(Tabela46[[#This Row],[Produtos]],cálculos!$I$3:$L$26,4,0),"")</f>
        <v>Kg</v>
      </c>
      <c r="F14">
        <v>2</v>
      </c>
      <c r="G14" s="1">
        <f>IFERROR(VLOOKUP(Tabela46[[#This Row],[Produtos]],cálculos!$I$3:$L$26,2,0),0)</f>
        <v>9.1009999999999991</v>
      </c>
      <c r="H14" s="1">
        <f>Tabela46[[#This Row],[Preço Unitário]]*Tabela46[[#This Row],[Quantidade]]</f>
        <v>18.201999999999998</v>
      </c>
      <c r="I14" s="9"/>
      <c r="J14" t="s">
        <v>106</v>
      </c>
      <c r="K14" s="1">
        <f>IFERROR(IF(Tabela46[[#This Row],[Id da Venda]]=B15,0,VLOOKUP(Tabela46[[#This Row],[Entrega]],cálculos!$B$3:$C$7,2,0)),0)</f>
        <v>0</v>
      </c>
      <c r="L14" s="1">
        <f>Tabela46[[#This Row],[SubTotal]]*(1-Tabela46[[#This Row],[Desconto]])+Tabela46[[#This Row],[Valor da Entrega]]</f>
        <v>18.201999999999998</v>
      </c>
      <c r="M14" s="1" t="str">
        <f>IF(Tabela46[[#This Row],[Id da Venda]]=B15,"",SUMIF(Tabela46[Id da Venda],Tabela46[[#This Row],[Id da Venda]],Tabela46[Total]))</f>
        <v/>
      </c>
    </row>
    <row r="15" spans="1:13" x14ac:dyDescent="0.3">
      <c r="B15">
        <v>9</v>
      </c>
      <c r="C15" s="17">
        <v>45476</v>
      </c>
      <c r="D15" t="s">
        <v>27</v>
      </c>
      <c r="E15" t="str">
        <f>IFERROR(VLOOKUP(Tabela46[[#This Row],[Produtos]],cálculos!$I$3:$L$26,4,0),"")</f>
        <v>Kg</v>
      </c>
      <c r="F15">
        <v>1.5</v>
      </c>
      <c r="G15" s="1">
        <f>IFERROR(VLOOKUP(Tabela46[[#This Row],[Produtos]],cálculos!$I$3:$L$26,2,0),0)</f>
        <v>23.827999999999999</v>
      </c>
      <c r="H15" s="1">
        <f>Tabela46[[#This Row],[Preço Unitário]]*Tabela46[[#This Row],[Quantidade]]</f>
        <v>35.741999999999997</v>
      </c>
      <c r="I15" s="9"/>
      <c r="J15" t="s">
        <v>106</v>
      </c>
      <c r="K15" s="1">
        <f>IFERROR(IF(Tabela46[[#This Row],[Id da Venda]]=B16,0,VLOOKUP(Tabela46[[#This Row],[Entrega]],cálculos!$B$3:$C$7,2,0)),0)</f>
        <v>0</v>
      </c>
      <c r="L15" s="1">
        <f>Tabela46[[#This Row],[SubTotal]]*(1-Tabela46[[#This Row],[Desconto]])+Tabela46[[#This Row],[Valor da Entrega]]</f>
        <v>35.741999999999997</v>
      </c>
      <c r="M15" s="1" t="str">
        <f>IF(Tabela46[[#This Row],[Id da Venda]]=B16,"",SUMIF(Tabela46[Id da Venda],Tabela46[[#This Row],[Id da Venda]],Tabela46[Total]))</f>
        <v/>
      </c>
    </row>
    <row r="16" spans="1:13" x14ac:dyDescent="0.3">
      <c r="B16">
        <v>9</v>
      </c>
      <c r="C16" s="17">
        <v>45476</v>
      </c>
      <c r="D16" t="s">
        <v>22</v>
      </c>
      <c r="E16" t="str">
        <f>IFERROR(VLOOKUP(Tabela46[[#This Row],[Produtos]],cálculos!$I$3:$L$26,4,0),"")</f>
        <v>Kg</v>
      </c>
      <c r="F16">
        <v>4</v>
      </c>
      <c r="G16" s="1">
        <f>IFERROR(VLOOKUP(Tabela46[[#This Row],[Produtos]],cálculos!$I$3:$L$26,2,0),0)</f>
        <v>4.0659999999999998</v>
      </c>
      <c r="H16" s="1">
        <f>Tabela46[[#This Row],[Preço Unitário]]*Tabela46[[#This Row],[Quantidade]]</f>
        <v>16.263999999999999</v>
      </c>
      <c r="I16" s="9"/>
      <c r="J16" t="s">
        <v>106</v>
      </c>
      <c r="K16" s="1">
        <f>IFERROR(IF(Tabela46[[#This Row],[Id da Venda]]=B17,0,VLOOKUP(Tabela46[[#This Row],[Entrega]],cálculos!$B$3:$C$7,2,0)),0)</f>
        <v>0</v>
      </c>
      <c r="L16" s="1">
        <f>Tabela46[[#This Row],[SubTotal]]*(1-Tabela46[[#This Row],[Desconto]])+Tabela46[[#This Row],[Valor da Entrega]]</f>
        <v>16.263999999999999</v>
      </c>
      <c r="M16" s="1">
        <f>IF(Tabela46[[#This Row],[Id da Venda]]=B17,"",SUMIF(Tabela46[Id da Venda],Tabela46[[#This Row],[Id da Venda]],Tabela46[Total]))</f>
        <v>83.357499999999987</v>
      </c>
    </row>
    <row r="17" spans="2:13" x14ac:dyDescent="0.3">
      <c r="B17">
        <v>8</v>
      </c>
      <c r="C17" s="17">
        <v>45476</v>
      </c>
      <c r="D17" t="s">
        <v>34</v>
      </c>
      <c r="E17" t="str">
        <f>IFERROR(VLOOKUP(Tabela46[[#This Row],[Produtos]],cálculos!$I$3:$L$26,4,0),"")</f>
        <v>Lata</v>
      </c>
      <c r="F17">
        <v>20</v>
      </c>
      <c r="G17" s="1">
        <f>IFERROR(VLOOKUP(Tabela46[[#This Row],[Produtos]],cálculos!$I$3:$L$26,2,0),0)</f>
        <v>2.1023999999999998</v>
      </c>
      <c r="H17" s="1">
        <f>Tabela46[[#This Row],[Preço Unitário]]*Tabela46[[#This Row],[Quantidade]]</f>
        <v>42.047999999999995</v>
      </c>
      <c r="I17" s="9">
        <v>0.05</v>
      </c>
      <c r="J17" t="s">
        <v>104</v>
      </c>
      <c r="K17" s="1">
        <f>IFERROR(IF(Tabela46[[#This Row],[Id da Venda]]=B18,0,VLOOKUP(Tabela46[[#This Row],[Entrega]],cálculos!$B$3:$C$7,2,0)),0)</f>
        <v>6.5</v>
      </c>
      <c r="L17" s="1">
        <f>Tabela46[[#This Row],[SubTotal]]*(1-Tabela46[[#This Row],[Desconto]])+Tabela46[[#This Row],[Valor da Entrega]]</f>
        <v>46.445599999999992</v>
      </c>
      <c r="M17" s="1">
        <f>IF(Tabela46[[#This Row],[Id da Venda]]=B18,"",SUMIF(Tabela46[Id da Venda],Tabela46[[#This Row],[Id da Venda]],Tabela46[Total]))</f>
        <v>46.445599999999992</v>
      </c>
    </row>
    <row r="18" spans="2:13" x14ac:dyDescent="0.3">
      <c r="B18">
        <v>7</v>
      </c>
      <c r="C18" s="17">
        <v>45476</v>
      </c>
      <c r="D18" t="s">
        <v>34</v>
      </c>
      <c r="E18" t="str">
        <f>IFERROR(VLOOKUP(Tabela46[[#This Row],[Produtos]],cálculos!$I$3:$L$26,4,0),"")</f>
        <v>Lata</v>
      </c>
      <c r="F18">
        <v>20</v>
      </c>
      <c r="G18" s="1">
        <f>IFERROR(VLOOKUP(Tabela46[[#This Row],[Produtos]],cálculos!$I$3:$L$26,2,0),0)</f>
        <v>2.1023999999999998</v>
      </c>
      <c r="H18" s="1">
        <f>Tabela46[[#This Row],[Preço Unitário]]*Tabela46[[#This Row],[Quantidade]]</f>
        <v>42.047999999999995</v>
      </c>
      <c r="I18" s="9">
        <v>0.05</v>
      </c>
      <c r="J18" t="s">
        <v>106</v>
      </c>
      <c r="K18" s="1">
        <f>IFERROR(IF(Tabela46[[#This Row],[Id da Venda]]=B19,0,VLOOKUP(Tabela46[[#This Row],[Entrega]],cálculos!$B$3:$C$7,2,0)),0)</f>
        <v>0</v>
      </c>
      <c r="L18" s="1">
        <f>Tabela46[[#This Row],[SubTotal]]*(1-Tabela46[[#This Row],[Desconto]])+Tabela46[[#This Row],[Valor da Entrega]]</f>
        <v>39.945599999999992</v>
      </c>
      <c r="M18" s="1">
        <f>IF(Tabela46[[#This Row],[Id da Venda]]=B19,"",SUMIF(Tabela46[Id da Venda],Tabela46[[#This Row],[Id da Venda]],Tabela46[Total]))</f>
        <v>39.945599999999992</v>
      </c>
    </row>
    <row r="19" spans="2:13" x14ac:dyDescent="0.3">
      <c r="B19">
        <v>6</v>
      </c>
      <c r="C19" s="17">
        <v>45476</v>
      </c>
      <c r="D19" t="s">
        <v>38</v>
      </c>
      <c r="E19" t="str">
        <f>IFERROR(VLOOKUP(Tabela46[[#This Row],[Produtos]],cálculos!$I$3:$L$26,4,0),"")</f>
        <v>Pacote</v>
      </c>
      <c r="F19">
        <v>2</v>
      </c>
      <c r="G19" s="1">
        <f>IFERROR(VLOOKUP(Tabela46[[#This Row],[Produtos]],cálculos!$I$3:$L$26,2,0),0)</f>
        <v>0.74260000000000004</v>
      </c>
      <c r="H19" s="1">
        <f>Tabela46[[#This Row],[Preço Unitário]]*Tabela46[[#This Row],[Quantidade]]</f>
        <v>1.4852000000000001</v>
      </c>
      <c r="I19" s="9"/>
      <c r="J19" t="s">
        <v>106</v>
      </c>
      <c r="K19" s="1">
        <f>IFERROR(IF(Tabela46[[#This Row],[Id da Venda]]=B20,0,VLOOKUP(Tabela46[[#This Row],[Entrega]],cálculos!$B$3:$C$7,2,0)),0)</f>
        <v>0</v>
      </c>
      <c r="L19" s="1">
        <f>Tabela46[[#This Row],[SubTotal]]*(1-Tabela46[[#This Row],[Desconto]])+Tabela46[[#This Row],[Valor da Entrega]]</f>
        <v>1.4852000000000001</v>
      </c>
      <c r="M19" s="1" t="str">
        <f>IF(Tabela46[[#This Row],[Id da Venda]]=B20,"",SUMIF(Tabela46[Id da Venda],Tabela46[[#This Row],[Id da Venda]],Tabela46[Total]))</f>
        <v/>
      </c>
    </row>
    <row r="20" spans="2:13" x14ac:dyDescent="0.3">
      <c r="B20">
        <v>6</v>
      </c>
      <c r="C20" s="17">
        <v>45476</v>
      </c>
      <c r="D20" t="s">
        <v>25</v>
      </c>
      <c r="E20" t="str">
        <f>IFERROR(VLOOKUP(Tabela46[[#This Row],[Produtos]],cálculos!$I$3:$L$26,4,0),"")</f>
        <v>Kg</v>
      </c>
      <c r="F20">
        <v>6</v>
      </c>
      <c r="G20" s="1">
        <f>IFERROR(VLOOKUP(Tabela46[[#This Row],[Produtos]],cálculos!$I$3:$L$26,2,0),0)</f>
        <v>14.469000000000001</v>
      </c>
      <c r="H20" s="1">
        <f>Tabela46[[#This Row],[Preço Unitário]]*Tabela46[[#This Row],[Quantidade]]</f>
        <v>86.814000000000007</v>
      </c>
      <c r="I20" s="9"/>
      <c r="J20" t="s">
        <v>106</v>
      </c>
      <c r="K20" s="1">
        <f>IFERROR(IF(Tabela46[[#This Row],[Id da Venda]]=B21,0,VLOOKUP(Tabela46[[#This Row],[Entrega]],cálculos!$B$3:$C$7,2,0)),0)</f>
        <v>0</v>
      </c>
      <c r="L20" s="1">
        <f>Tabela46[[#This Row],[SubTotal]]*(1-Tabela46[[#This Row],[Desconto]])+Tabela46[[#This Row],[Valor da Entrega]]</f>
        <v>86.814000000000007</v>
      </c>
      <c r="M20" s="1" t="str">
        <f>IF(Tabela46[[#This Row],[Id da Venda]]=B21,"",SUMIF(Tabela46[Id da Venda],Tabela46[[#This Row],[Id da Venda]],Tabela46[Total]))</f>
        <v/>
      </c>
    </row>
    <row r="21" spans="2:13" x14ac:dyDescent="0.3">
      <c r="B21">
        <v>6</v>
      </c>
      <c r="C21" s="17">
        <v>45476</v>
      </c>
      <c r="D21" t="s">
        <v>34</v>
      </c>
      <c r="E21" t="str">
        <f>IFERROR(VLOOKUP(Tabela46[[#This Row],[Produtos]],cálculos!$I$3:$L$26,4,0),"")</f>
        <v>Lata</v>
      </c>
      <c r="F21">
        <v>12</v>
      </c>
      <c r="G21" s="1">
        <f>IFERROR(VLOOKUP(Tabela46[[#This Row],[Produtos]],cálculos!$I$3:$L$26,2,0),0)</f>
        <v>2.1023999999999998</v>
      </c>
      <c r="H21" s="1">
        <f>Tabela46[[#This Row],[Preço Unitário]]*Tabela46[[#This Row],[Quantidade]]</f>
        <v>25.2288</v>
      </c>
      <c r="I21" s="9"/>
      <c r="J21" t="s">
        <v>106</v>
      </c>
      <c r="K21" s="1">
        <f>IFERROR(IF(Tabela46[[#This Row],[Id da Venda]]=B22,0,VLOOKUP(Tabela46[[#This Row],[Entrega]],cálculos!$B$3:$C$7,2,0)),0)</f>
        <v>0</v>
      </c>
      <c r="L21" s="1">
        <f>Tabela46[[#This Row],[SubTotal]]*(1-Tabela46[[#This Row],[Desconto]])+Tabela46[[#This Row],[Valor da Entrega]]</f>
        <v>25.2288</v>
      </c>
      <c r="M21" s="1">
        <f>IF(Tabela46[[#This Row],[Id da Venda]]=B22,"",SUMIF(Tabela46[Id da Venda],Tabela46[[#This Row],[Id da Venda]],Tabela46[Total]))</f>
        <v>113.52800000000002</v>
      </c>
    </row>
    <row r="22" spans="2:13" x14ac:dyDescent="0.3">
      <c r="B22">
        <v>5</v>
      </c>
      <c r="C22" s="17">
        <v>45475</v>
      </c>
      <c r="D22" t="s">
        <v>24</v>
      </c>
      <c r="E22" t="str">
        <f>IFERROR(VLOOKUP(Tabela46[[#This Row],[Produtos]],cálculos!$I$3:$L$26,4,0),"")</f>
        <v>Unidade</v>
      </c>
      <c r="F22">
        <v>3</v>
      </c>
      <c r="G22" s="1">
        <f>IFERROR(VLOOKUP(Tabela46[[#This Row],[Produtos]],cálculos!$I$3:$L$26,2,0),0)</f>
        <v>2.8405</v>
      </c>
      <c r="H22" s="1">
        <f>Tabela46[[#This Row],[Preço Unitário]]*Tabela46[[#This Row],[Quantidade]]</f>
        <v>8.5214999999999996</v>
      </c>
      <c r="I22" s="9"/>
      <c r="J22" t="s">
        <v>104</v>
      </c>
      <c r="K22" s="1">
        <f>IFERROR(IF(Tabela46[[#This Row],[Id da Venda]]=B23,0,VLOOKUP(Tabela46[[#This Row],[Entrega]],cálculos!$B$3:$C$7,2,0)),0)</f>
        <v>6.5</v>
      </c>
      <c r="L22" s="1">
        <f>Tabela46[[#This Row],[SubTotal]]*(1-Tabela46[[#This Row],[Desconto]])+Tabela46[[#This Row],[Valor da Entrega]]</f>
        <v>15.0215</v>
      </c>
      <c r="M22" s="1">
        <f>IF(Tabela46[[#This Row],[Id da Venda]]=B23,"",SUMIF(Tabela46[Id da Venda],Tabela46[[#This Row],[Id da Venda]],Tabela46[Total]))</f>
        <v>15.0215</v>
      </c>
    </row>
    <row r="23" spans="2:13" x14ac:dyDescent="0.3">
      <c r="B23">
        <v>4</v>
      </c>
      <c r="C23" s="17">
        <v>45475</v>
      </c>
      <c r="D23" t="s">
        <v>39</v>
      </c>
      <c r="E23" t="str">
        <f>IFERROR(VLOOKUP(Tabela46[[#This Row],[Produtos]],cálculos!$I$3:$L$26,4,0),"")</f>
        <v>Pacote</v>
      </c>
      <c r="F23">
        <v>2</v>
      </c>
      <c r="G23" s="1">
        <f>IFERROR(VLOOKUP(Tabela46[[#This Row],[Produtos]],cálculos!$I$3:$L$26,2,0),0)</f>
        <v>1.8506999999999998</v>
      </c>
      <c r="H23" s="1">
        <f>Tabela46[[#This Row],[Preço Unitário]]*Tabela46[[#This Row],[Quantidade]]</f>
        <v>3.7013999999999996</v>
      </c>
      <c r="I23" s="9"/>
      <c r="J23" t="s">
        <v>101</v>
      </c>
      <c r="K23" s="1">
        <f>IFERROR(IF(Tabela46[[#This Row],[Id da Venda]]=B24,0,VLOOKUP(Tabela46[[#This Row],[Entrega]],cálculos!$B$3:$C$7,2,0)),0)</f>
        <v>0</v>
      </c>
      <c r="L23" s="1">
        <f>Tabela46[[#This Row],[SubTotal]]*(1-Tabela46[[#This Row],[Desconto]])+Tabela46[[#This Row],[Valor da Entrega]]</f>
        <v>3.7013999999999996</v>
      </c>
      <c r="M23" s="1" t="str">
        <f>IF(Tabela46[[#This Row],[Id da Venda]]=B24,"",SUMIF(Tabela46[Id da Venda],Tabela46[[#This Row],[Id da Venda]],Tabela46[Total]))</f>
        <v/>
      </c>
    </row>
    <row r="24" spans="2:13" x14ac:dyDescent="0.3">
      <c r="B24">
        <v>4</v>
      </c>
      <c r="C24" s="17">
        <v>45475</v>
      </c>
      <c r="D24" t="s">
        <v>21</v>
      </c>
      <c r="E24" t="str">
        <f>IFERROR(VLOOKUP(Tabela46[[#This Row],[Produtos]],cálculos!$I$3:$L$26,4,0),"")</f>
        <v>Kg</v>
      </c>
      <c r="F24">
        <v>5</v>
      </c>
      <c r="G24" s="1">
        <f>IFERROR(VLOOKUP(Tabela46[[#This Row],[Produtos]],cálculos!$I$3:$L$26,2,0),0)</f>
        <v>2.3406000000000002</v>
      </c>
      <c r="H24" s="1">
        <f>Tabela46[[#This Row],[Preço Unitário]]*Tabela46[[#This Row],[Quantidade]]</f>
        <v>11.703000000000001</v>
      </c>
      <c r="I24" s="9"/>
      <c r="J24" t="s">
        <v>101</v>
      </c>
      <c r="K24" s="1">
        <f>IFERROR(IF(Tabela46[[#This Row],[Id da Venda]]=B25,0,VLOOKUP(Tabela46[[#This Row],[Entrega]],cálculos!$B$3:$C$7,2,0)),0)</f>
        <v>6.5</v>
      </c>
      <c r="L24" s="1">
        <f>Tabela46[[#This Row],[SubTotal]]*(1-Tabela46[[#This Row],[Desconto]])+Tabela46[[#This Row],[Valor da Entrega]]</f>
        <v>18.203000000000003</v>
      </c>
      <c r="M24" s="1">
        <f>IF(Tabela46[[#This Row],[Id da Venda]]=B25,"",SUMIF(Tabela46[Id da Venda],Tabela46[[#This Row],[Id da Venda]],Tabela46[Total]))</f>
        <v>21.904400000000003</v>
      </c>
    </row>
    <row r="25" spans="2:13" x14ac:dyDescent="0.3">
      <c r="B25">
        <v>3</v>
      </c>
      <c r="C25" s="17">
        <v>45475</v>
      </c>
      <c r="D25" t="s">
        <v>91</v>
      </c>
      <c r="E25" t="str">
        <f>IFERROR(VLOOKUP(Tabela46[[#This Row],[Produtos]],cálculos!$I$3:$L$26,4,0),"")</f>
        <v>Litro</v>
      </c>
      <c r="F25">
        <v>6</v>
      </c>
      <c r="G25" s="1">
        <f>IFERROR(VLOOKUP(Tabela46[[#This Row],[Produtos]],cálculos!$I$3:$L$26,2,0),0)</f>
        <v>1.3708</v>
      </c>
      <c r="H25" s="1">
        <f>Tabela46[[#This Row],[Preço Unitário]]*Tabela46[[#This Row],[Quantidade]]</f>
        <v>8.2248000000000001</v>
      </c>
      <c r="I25" s="9"/>
      <c r="J25" t="s">
        <v>103</v>
      </c>
      <c r="K25" s="1">
        <f>IFERROR(IF(Tabela46[[#This Row],[Id da Venda]]=B26,0,VLOOKUP(Tabela46[[#This Row],[Entrega]],cálculos!$B$3:$C$7,2,0)),0)</f>
        <v>8</v>
      </c>
      <c r="L25" s="1">
        <f>Tabela46[[#This Row],[SubTotal]]*(1-Tabela46[[#This Row],[Desconto]])+Tabela46[[#This Row],[Valor da Entrega]]</f>
        <v>16.224800000000002</v>
      </c>
      <c r="M25" s="1">
        <f>IF(Tabela46[[#This Row],[Id da Venda]]=B26,"",SUMIF(Tabela46[Id da Venda],Tabela46[[#This Row],[Id da Venda]],Tabela46[Total]))</f>
        <v>16.224800000000002</v>
      </c>
    </row>
    <row r="26" spans="2:13" x14ac:dyDescent="0.3">
      <c r="B26">
        <v>2</v>
      </c>
      <c r="C26" s="17">
        <v>45475</v>
      </c>
      <c r="D26" t="s">
        <v>39</v>
      </c>
      <c r="E26" t="str">
        <f>IFERROR(VLOOKUP(Tabela46[[#This Row],[Produtos]],cálculos!$I$3:$L$26,4,0),"")</f>
        <v>Pacote</v>
      </c>
      <c r="F26">
        <v>1</v>
      </c>
      <c r="G26" s="1">
        <f>IFERROR(VLOOKUP(Tabela46[[#This Row],[Produtos]],cálculos!$I$3:$L$26,2,0),0)</f>
        <v>1.8506999999999998</v>
      </c>
      <c r="H26" s="1">
        <f>Tabela46[[#This Row],[Preço Unitário]]*Tabela46[[#This Row],[Quantidade]]</f>
        <v>1.8506999999999998</v>
      </c>
      <c r="I26" s="9"/>
      <c r="J26" t="s">
        <v>101</v>
      </c>
      <c r="K26" s="1">
        <f>IFERROR(IF(Tabela46[[#This Row],[Id da Venda]]=B27,0,VLOOKUP(Tabela46[[#This Row],[Entrega]],cálculos!$B$3:$C$7,2,0)),0)</f>
        <v>6.5</v>
      </c>
      <c r="L26" s="1">
        <f>Tabela46[[#This Row],[SubTotal]]*(1-Tabela46[[#This Row],[Desconto]])+Tabela46[[#This Row],[Valor da Entrega]]</f>
        <v>8.3506999999999998</v>
      </c>
      <c r="M26" s="1">
        <f>IF(Tabela46[[#This Row],[Id da Venda]]=B27,"",SUMIF(Tabela46[Id da Venda],Tabela46[[#This Row],[Id da Venda]],Tabela46[Total]))</f>
        <v>8.3506999999999998</v>
      </c>
    </row>
    <row r="27" spans="2:13" x14ac:dyDescent="0.3">
      <c r="B27">
        <v>1</v>
      </c>
      <c r="C27" s="17">
        <v>45475</v>
      </c>
      <c r="D27" t="s">
        <v>21</v>
      </c>
      <c r="E27" t="str">
        <f>IFERROR(VLOOKUP(Tabela46[[#This Row],[Produtos]],cálculos!$I$3:$L$26,4,0),"")</f>
        <v>Kg</v>
      </c>
      <c r="F27">
        <v>2</v>
      </c>
      <c r="G27" s="1">
        <f>IFERROR(VLOOKUP(Tabela46[[#This Row],[Produtos]],cálculos!$I$3:$L$26,2,0),0)</f>
        <v>2.3406000000000002</v>
      </c>
      <c r="H27" s="1">
        <f>Tabela46[[#This Row],[Preço Unitário]]*Tabela46[[#This Row],[Quantidade]]</f>
        <v>4.6812000000000005</v>
      </c>
      <c r="I27" s="9"/>
      <c r="J27" t="s">
        <v>106</v>
      </c>
      <c r="K27" s="1">
        <f>IFERROR(IF(Tabela46[[#This Row],[Id da Venda]]=B28,0,VLOOKUP(Tabela46[[#This Row],[Entrega]],cálculos!$B$3:$C$7,2,0)),0)</f>
        <v>0</v>
      </c>
      <c r="L27" s="1">
        <f>Tabela46[[#This Row],[SubTotal]]*(1-Tabela46[[#This Row],[Desconto]])+Tabela46[[#This Row],[Valor da Entrega]]</f>
        <v>4.6812000000000005</v>
      </c>
      <c r="M27" s="1" t="str">
        <f>IF(Tabela46[[#This Row],[Id da Venda]]=B28,"",SUMIF(Tabela46[Id da Venda],Tabela46[[#This Row],[Id da Venda]],Tabela46[Total]))</f>
        <v/>
      </c>
    </row>
    <row r="28" spans="2:13" x14ac:dyDescent="0.3">
      <c r="B28">
        <v>1</v>
      </c>
      <c r="C28" s="17">
        <v>45475</v>
      </c>
      <c r="D28" t="s">
        <v>33</v>
      </c>
      <c r="E28" t="str">
        <f>IFERROR(VLOOKUP(Tabela46[[#This Row],[Produtos]],cálculos!$I$3:$L$26,4,0),"")</f>
        <v>Pacote</v>
      </c>
      <c r="F28">
        <v>3</v>
      </c>
      <c r="G28" s="1">
        <f>IFERROR(VLOOKUP(Tabela46[[#This Row],[Produtos]],cálculos!$I$3:$L$26,2,0),0)</f>
        <v>1.0580000000000001</v>
      </c>
      <c r="H28" s="1">
        <f>Tabela46[[#This Row],[Preço Unitário]]*Tabela46[[#This Row],[Quantidade]]</f>
        <v>3.1740000000000004</v>
      </c>
      <c r="I28" s="9"/>
      <c r="J28" t="s">
        <v>106</v>
      </c>
      <c r="K28" s="1">
        <f>IFERROR(IF(Tabela46[[#This Row],[Id da Venda]]=B29,0,VLOOKUP(Tabela46[[#This Row],[Entrega]],cálculos!$B$3:$C$7,2,0)),0)</f>
        <v>0</v>
      </c>
      <c r="L28" s="1">
        <f>Tabela46[[#This Row],[SubTotal]]*(1-Tabela46[[#This Row],[Desconto]])+Tabela46[[#This Row],[Valor da Entrega]]</f>
        <v>3.1740000000000004</v>
      </c>
      <c r="M28" s="1" t="str">
        <f>IF(Tabela46[[#This Row],[Id da Venda]]=B29,"",SUMIF(Tabela46[Id da Venda],Tabela46[[#This Row],[Id da Venda]],Tabela46[Total]))</f>
        <v/>
      </c>
    </row>
    <row r="29" spans="2:13" x14ac:dyDescent="0.3">
      <c r="B29">
        <v>1</v>
      </c>
      <c r="C29" s="17">
        <v>45475</v>
      </c>
      <c r="D29" t="s">
        <v>39</v>
      </c>
      <c r="E29" t="str">
        <f>IFERROR(VLOOKUP(Tabela46[[#This Row],[Produtos]],cálculos!$I$3:$L$26,4,0),"")</f>
        <v>Pacote</v>
      </c>
      <c r="F29">
        <v>1</v>
      </c>
      <c r="G29" s="1">
        <f>IFERROR(VLOOKUP(Tabela46[[#This Row],[Produtos]],cálculos!$I$3:$L$26,2,0),0)</f>
        <v>1.8506999999999998</v>
      </c>
      <c r="H29" s="1">
        <f>Tabela46[[#This Row],[Preço Unitário]]*Tabela46[[#This Row],[Quantidade]]</f>
        <v>1.8506999999999998</v>
      </c>
      <c r="I29" s="9"/>
      <c r="J29" t="s">
        <v>106</v>
      </c>
      <c r="K29" s="1">
        <f>IFERROR(IF(Tabela46[[#This Row],[Id da Venda]]=B30,0,VLOOKUP(Tabela46[[#This Row],[Entrega]],cálculos!$B$3:$C$7,2,0)),0)</f>
        <v>0</v>
      </c>
      <c r="L29" s="1">
        <f>Tabela46[[#This Row],[SubTotal]]*(1-Tabela46[[#This Row],[Desconto]])+Tabela46[[#This Row],[Valor da Entrega]]</f>
        <v>1.8506999999999998</v>
      </c>
      <c r="M29" s="1">
        <f>IF(Tabela46[[#This Row],[Id da Venda]]=B30,"",SUMIF(Tabela46[Id da Venda],Tabela46[[#This Row],[Id da Venda]],Tabela46[Total]))</f>
        <v>9.7058999999999997</v>
      </c>
    </row>
    <row r="31" spans="2:13" ht="21" x14ac:dyDescent="0.4">
      <c r="B31" s="18" t="s">
        <v>110</v>
      </c>
      <c r="C31" s="18"/>
      <c r="D31" s="18"/>
      <c r="E31" s="19"/>
      <c r="F31" s="19"/>
      <c r="G31" s="19"/>
      <c r="H31" s="19"/>
      <c r="I31" s="19"/>
      <c r="J31" s="19"/>
      <c r="K31" s="19"/>
      <c r="L31" s="20">
        <f>SUM(Tabela46[Valor da Entrega])</f>
        <v>40.5</v>
      </c>
    </row>
    <row r="32" spans="2:13" ht="21" x14ac:dyDescent="0.4">
      <c r="B32" s="21" t="s">
        <v>133</v>
      </c>
      <c r="C32" s="22"/>
      <c r="D32" s="22"/>
      <c r="E32" s="22"/>
      <c r="F32" s="22"/>
      <c r="G32" s="22"/>
      <c r="H32" s="22"/>
      <c r="I32" s="22"/>
      <c r="J32" s="22"/>
      <c r="K32" s="22"/>
      <c r="L32" s="23">
        <f>SUM(Tabela46[Total])</f>
        <v>613.91881999999976</v>
      </c>
    </row>
    <row r="33" spans="2:12" ht="21" x14ac:dyDescent="0.4">
      <c r="B33" s="21" t="s">
        <v>134</v>
      </c>
      <c r="C33" s="22"/>
      <c r="D33" s="22"/>
      <c r="E33" s="22"/>
      <c r="F33" s="22"/>
      <c r="G33" s="22"/>
      <c r="H33" s="22"/>
      <c r="I33" s="22"/>
      <c r="J33" s="22"/>
      <c r="K33" s="22"/>
      <c r="L33" s="47">
        <f>SUM(IF(FREQUENCY(Tabela46[Id da Venda],Tabela46[Id da Venda])&gt;0,1))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cálculos!$I$3:$I$26</xm:f>
          </x14:formula1>
          <xm:sqref>D5:D29</xm:sqref>
        </x14:dataValidation>
        <x14:dataValidation type="list" allowBlank="1" showInputMessage="1" showErrorMessage="1" xr:uid="{00000000-0002-0000-0700-000001000000}">
          <x14:formula1>
            <xm:f>cálculos!$B$3:$B$7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/>
  <dimension ref="A3:D23"/>
  <sheetViews>
    <sheetView showGridLines="0" workbookViewId="0">
      <selection activeCell="A19" sqref="A19"/>
    </sheetView>
  </sheetViews>
  <sheetFormatPr defaultRowHeight="14.4" x14ac:dyDescent="0.3"/>
  <cols>
    <col min="1" max="1" width="18" customWidth="1"/>
    <col min="2" max="2" width="23.88671875" customWidth="1"/>
    <col min="3" max="3" width="13.5546875" bestFit="1" customWidth="1"/>
    <col min="4" max="4" width="19.6640625" bestFit="1" customWidth="1"/>
    <col min="5" max="5" width="24" bestFit="1" customWidth="1"/>
  </cols>
  <sheetData>
    <row r="3" spans="1:3" x14ac:dyDescent="0.3">
      <c r="A3" s="24" t="s">
        <v>154</v>
      </c>
      <c r="B3" t="s">
        <v>127</v>
      </c>
      <c r="C3" t="s">
        <v>124</v>
      </c>
    </row>
    <row r="4" spans="1:3" x14ac:dyDescent="0.3">
      <c r="A4" s="25">
        <v>42187</v>
      </c>
      <c r="B4">
        <v>23</v>
      </c>
      <c r="C4" s="28">
        <v>71.207300000000018</v>
      </c>
    </row>
    <row r="5" spans="1:3" x14ac:dyDescent="0.3">
      <c r="A5" s="25">
        <v>42188</v>
      </c>
      <c r="B5">
        <v>72.5</v>
      </c>
      <c r="C5" s="28">
        <v>283.27669999999995</v>
      </c>
    </row>
    <row r="6" spans="1:3" x14ac:dyDescent="0.3">
      <c r="A6" s="25">
        <v>42189</v>
      </c>
      <c r="B6">
        <v>21</v>
      </c>
      <c r="C6" s="28">
        <v>56.221999999999994</v>
      </c>
    </row>
    <row r="7" spans="1:3" x14ac:dyDescent="0.3">
      <c r="A7" s="25">
        <v>42190</v>
      </c>
      <c r="B7">
        <v>45</v>
      </c>
      <c r="C7" s="28">
        <v>203.21281999999999</v>
      </c>
    </row>
    <row r="8" spans="1:3" x14ac:dyDescent="0.3">
      <c r="A8" s="25" t="s">
        <v>123</v>
      </c>
      <c r="B8">
        <v>161.5</v>
      </c>
      <c r="C8" s="28">
        <v>613.91881999999998</v>
      </c>
    </row>
    <row r="18" spans="1:4" x14ac:dyDescent="0.3">
      <c r="A18" s="24" t="s">
        <v>155</v>
      </c>
      <c r="B18" t="s">
        <v>125</v>
      </c>
      <c r="C18" t="s">
        <v>124</v>
      </c>
      <c r="D18" t="s">
        <v>127</v>
      </c>
    </row>
    <row r="19" spans="1:4" x14ac:dyDescent="0.3">
      <c r="A19" s="26" t="s">
        <v>106</v>
      </c>
      <c r="B19" s="28">
        <v>0</v>
      </c>
      <c r="C19" s="29">
        <v>302.75899999999996</v>
      </c>
      <c r="D19">
        <v>79.5</v>
      </c>
    </row>
    <row r="20" spans="1:4" x14ac:dyDescent="0.3">
      <c r="A20" s="26" t="s">
        <v>101</v>
      </c>
      <c r="B20" s="28">
        <v>13</v>
      </c>
      <c r="C20" s="29">
        <v>30.255100000000002</v>
      </c>
      <c r="D20">
        <v>8</v>
      </c>
    </row>
    <row r="21" spans="1:4" x14ac:dyDescent="0.3">
      <c r="A21" s="26" t="s">
        <v>103</v>
      </c>
      <c r="B21" s="28">
        <v>8</v>
      </c>
      <c r="C21" s="29">
        <v>16.224800000000002</v>
      </c>
      <c r="D21">
        <v>6</v>
      </c>
    </row>
    <row r="22" spans="1:4" x14ac:dyDescent="0.3">
      <c r="A22" s="26" t="s">
        <v>104</v>
      </c>
      <c r="B22" s="28">
        <v>19.5</v>
      </c>
      <c r="C22" s="29">
        <v>264.67991999999998</v>
      </c>
      <c r="D22">
        <v>68</v>
      </c>
    </row>
    <row r="23" spans="1:4" x14ac:dyDescent="0.3">
      <c r="A23" s="26" t="s">
        <v>123</v>
      </c>
      <c r="B23" s="28">
        <v>40.5</v>
      </c>
      <c r="C23" s="29">
        <v>613.91881999999998</v>
      </c>
      <c r="D23">
        <v>161.5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2:M33"/>
  <sheetViews>
    <sheetView showGridLines="0" topLeftCell="A28" workbookViewId="0">
      <selection activeCell="A13" sqref="A13"/>
    </sheetView>
  </sheetViews>
  <sheetFormatPr defaultRowHeight="14.4" x14ac:dyDescent="0.3"/>
  <cols>
    <col min="1" max="1" width="21.5546875" customWidth="1"/>
    <col min="2" max="2" width="13.5546875" customWidth="1"/>
    <col min="3" max="3" width="16.109375" bestFit="1" customWidth="1"/>
    <col min="4" max="4" width="16.6640625" customWidth="1"/>
    <col min="5" max="5" width="13.5546875" customWidth="1"/>
    <col min="6" max="6" width="15.6640625" customWidth="1"/>
    <col min="7" max="7" width="16.109375" bestFit="1" customWidth="1"/>
    <col min="8" max="9" width="13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3" s="16" customFormat="1" ht="27.9" customHeight="1" x14ac:dyDescent="0.3">
      <c r="A2" s="14"/>
      <c r="B2" s="14" t="s">
        <v>112</v>
      </c>
      <c r="C2" s="15"/>
      <c r="D2" s="15"/>
      <c r="G2" s="15"/>
      <c r="H2" s="15"/>
      <c r="I2" s="15"/>
      <c r="J2" s="15"/>
      <c r="K2" s="15"/>
    </row>
    <row r="3" spans="1:13" ht="32.25" customHeight="1" x14ac:dyDescent="0.3"/>
    <row r="4" spans="1:13" x14ac:dyDescent="0.3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3">
      <c r="B5">
        <v>1</v>
      </c>
      <c r="C5" s="17">
        <v>42190</v>
      </c>
      <c r="D5" t="s">
        <v>42</v>
      </c>
      <c r="E5" t="str">
        <f>IFERROR(VLOOKUP(Tabela47[[#This Row],[Produtos]],cálculos!$I$3:$L$26,4,0),"")</f>
        <v>Pacote</v>
      </c>
      <c r="F5">
        <v>2</v>
      </c>
      <c r="G5" s="1">
        <f>IFERROR(VLOOKUP(Tabela47[[#This Row],[Produtos]],cálculos!$I$3:$L$26,2,0),0)</f>
        <v>1.0924999999999998</v>
      </c>
      <c r="H5" s="1">
        <f>Tabela47[[#This Row],[Preço Unitário]]*Tabela47[[#This Row],[Quantidade]]</f>
        <v>2.1849999999999996</v>
      </c>
      <c r="I5" s="9"/>
      <c r="J5" t="s">
        <v>106</v>
      </c>
      <c r="K5" s="1">
        <f>IFERROR(VLOOKUP(Tabela47[[#This Row],[Entrega]],cálculos!$B$3:$C$7,2,0),0)</f>
        <v>0</v>
      </c>
      <c r="L5" s="1">
        <f>Tabela47[[#This Row],[SubTotal]]*(1-Tabela47[[#This Row],[Desconto]])+Tabela47[[#This Row],[Valor da Entrega]]</f>
        <v>2.1849999999999996</v>
      </c>
      <c r="M5" s="1">
        <f>IF(Tabela47[[#This Row],[Id da Venda]]=B6,"",SUMIF(Tabela47[Id da Venda],Tabela47[[#This Row],[Id da Venda]],Tabela47[Total]))</f>
        <v>2.1849999999999996</v>
      </c>
    </row>
    <row r="6" spans="1:13" x14ac:dyDescent="0.3">
      <c r="C6" s="17"/>
      <c r="E6" t="str">
        <f>IFERROR(VLOOKUP(Tabela47[[#This Row],[Produtos]],cálculos!$I$3:$L$26,4,0),"")</f>
        <v/>
      </c>
      <c r="G6" s="1">
        <f>IFERROR(VLOOKUP(Tabela47[[#This Row],[Produtos]],cálculos!$I$3:$L$26,2,0),0)</f>
        <v>0</v>
      </c>
      <c r="H6" s="1">
        <f>Tabela47[[#This Row],[Preço Unitário]]*Tabela47[[#This Row],[Quantidade]]</f>
        <v>0</v>
      </c>
      <c r="I6" s="9"/>
      <c r="K6" s="1">
        <f>IFERROR(VLOOKUP(Tabela47[[#This Row],[Entrega]],cálculos!$B$3:$C$7,2,0),0)</f>
        <v>0</v>
      </c>
      <c r="L6" s="1">
        <f>Tabela47[[#This Row],[SubTotal]]*(1-Tabela47[[#This Row],[Desconto]])+Tabela47[[#This Row],[Valor da Entrega]]</f>
        <v>0</v>
      </c>
      <c r="M6" s="1" t="str">
        <f>IF(Tabela47[[#This Row],[Id da Venda]]=B7,"",SUMIF(Tabela47[Id da Venda],Tabela47[[#This Row],[Id da Venda]],Tabela47[Total]))</f>
        <v/>
      </c>
    </row>
    <row r="7" spans="1:13" x14ac:dyDescent="0.3">
      <c r="C7" s="17"/>
      <c r="E7" t="str">
        <f>IFERROR(VLOOKUP(Tabela47[[#This Row],[Produtos]],cálculos!$I$3:$L$26,4,0),"")</f>
        <v/>
      </c>
      <c r="G7" s="1">
        <f>IFERROR(VLOOKUP(Tabela47[[#This Row],[Produtos]],cálculos!$I$3:$L$26,2,0),0)</f>
        <v>0</v>
      </c>
      <c r="H7" s="1">
        <f>Tabela47[[#This Row],[Preço Unitário]]*Tabela47[[#This Row],[Quantidade]]</f>
        <v>0</v>
      </c>
      <c r="I7" s="9"/>
      <c r="K7" s="1">
        <f>IFERROR(VLOOKUP(Tabela47[[#This Row],[Entrega]],cálculos!$B$3:$C$7,2,0),0)</f>
        <v>0</v>
      </c>
      <c r="L7" s="1">
        <f>Tabela47[[#This Row],[SubTotal]]*(1-Tabela47[[#This Row],[Desconto]])+Tabela47[[#This Row],[Valor da Entrega]]</f>
        <v>0</v>
      </c>
      <c r="M7" s="1" t="str">
        <f>IF(Tabela47[[#This Row],[Id da Venda]]=B8,"",SUMIF(Tabela47[Id da Venda],Tabela47[[#This Row],[Id da Venda]],Tabela47[Total]))</f>
        <v/>
      </c>
    </row>
    <row r="8" spans="1:13" x14ac:dyDescent="0.3">
      <c r="C8" s="17"/>
      <c r="E8" t="str">
        <f>IFERROR(VLOOKUP(Tabela47[[#This Row],[Produtos]],cálculos!$I$3:$L$26,4,0),"")</f>
        <v/>
      </c>
      <c r="G8" s="1">
        <f>IFERROR(VLOOKUP(Tabela47[[#This Row],[Produtos]],cálculos!$I$3:$L$26,2,0),0)</f>
        <v>0</v>
      </c>
      <c r="H8" s="1">
        <f>Tabela47[[#This Row],[Preço Unitário]]*Tabela47[[#This Row],[Quantidade]]</f>
        <v>0</v>
      </c>
      <c r="I8" s="9"/>
      <c r="K8" s="1">
        <f>IFERROR(VLOOKUP(Tabela47[[#This Row],[Entrega]],cálculos!$B$3:$C$7,2,0),0)</f>
        <v>0</v>
      </c>
      <c r="L8" s="1">
        <f>Tabela47[[#This Row],[SubTotal]]*(1-Tabela47[[#This Row],[Desconto]])+Tabela47[[#This Row],[Valor da Entrega]]</f>
        <v>0</v>
      </c>
      <c r="M8" s="1" t="str">
        <f>IF(Tabela47[[#This Row],[Id da Venda]]=B9,"",SUMIF(Tabela47[Id da Venda],Tabela47[[#This Row],[Id da Venda]],Tabela47[Total]))</f>
        <v/>
      </c>
    </row>
    <row r="9" spans="1:13" x14ac:dyDescent="0.3">
      <c r="C9" s="17"/>
      <c r="E9" t="str">
        <f>IFERROR(VLOOKUP(Tabela47[[#This Row],[Produtos]],cálculos!$I$3:$L$26,4,0),"")</f>
        <v/>
      </c>
      <c r="G9" s="1">
        <f>IFERROR(VLOOKUP(Tabela47[[#This Row],[Produtos]],cálculos!$I$3:$L$26,2,0),0)</f>
        <v>0</v>
      </c>
      <c r="H9" s="1">
        <f>Tabela47[[#This Row],[Preço Unitário]]*Tabela47[[#This Row],[Quantidade]]</f>
        <v>0</v>
      </c>
      <c r="I9" s="9"/>
      <c r="K9" s="1">
        <f>IFERROR(VLOOKUP(Tabela47[[#This Row],[Entrega]],cálculos!$B$3:$C$7,2,0),0)</f>
        <v>0</v>
      </c>
      <c r="L9" s="1">
        <f>Tabela47[[#This Row],[SubTotal]]*(1-Tabela47[[#This Row],[Desconto]])+Tabela47[[#This Row],[Valor da Entrega]]</f>
        <v>0</v>
      </c>
      <c r="M9" s="1" t="str">
        <f>IF(Tabela47[[#This Row],[Id da Venda]]=B10,"",SUMIF(Tabela47[Id da Venda],Tabela47[[#This Row],[Id da Venda]],Tabela47[Total]))</f>
        <v/>
      </c>
    </row>
    <row r="10" spans="1:13" x14ac:dyDescent="0.3">
      <c r="C10" s="17"/>
      <c r="E10" t="str">
        <f>IFERROR(VLOOKUP(Tabela47[[#This Row],[Produtos]],cálculos!$I$3:$L$26,4,0),"")</f>
        <v/>
      </c>
      <c r="G10" s="1">
        <f>IFERROR(VLOOKUP(Tabela47[[#This Row],[Produtos]],cálculos!$I$3:$L$26,2,0),0)</f>
        <v>0</v>
      </c>
      <c r="H10" s="1">
        <f>Tabela47[[#This Row],[Preço Unitário]]*Tabela47[[#This Row],[Quantidade]]</f>
        <v>0</v>
      </c>
      <c r="I10" s="9"/>
      <c r="K10" s="1">
        <f>IFERROR(VLOOKUP(Tabela47[[#This Row],[Entrega]],cálculos!$B$3:$C$7,2,0),0)</f>
        <v>0</v>
      </c>
      <c r="L10" s="1">
        <f>Tabela47[[#This Row],[SubTotal]]*(1-Tabela47[[#This Row],[Desconto]])+Tabela47[[#This Row],[Valor da Entrega]]</f>
        <v>0</v>
      </c>
      <c r="M10" s="1" t="str">
        <f>IF(Tabela47[[#This Row],[Id da Venda]]=B11,"",SUMIF(Tabela47[Id da Venda],Tabela47[[#This Row],[Id da Venda]],Tabela47[Total]))</f>
        <v/>
      </c>
    </row>
    <row r="11" spans="1:13" x14ac:dyDescent="0.3">
      <c r="C11" s="17"/>
      <c r="E11" t="str">
        <f>IFERROR(VLOOKUP(Tabela47[[#This Row],[Produtos]],cálculos!$I$3:$L$26,4,0),"")</f>
        <v/>
      </c>
      <c r="G11" s="1">
        <f>IFERROR(VLOOKUP(Tabela47[[#This Row],[Produtos]],cálculos!$I$3:$L$26,2,0),0)</f>
        <v>0</v>
      </c>
      <c r="H11" s="1">
        <f>Tabela47[[#This Row],[Preço Unitário]]*Tabela47[[#This Row],[Quantidade]]</f>
        <v>0</v>
      </c>
      <c r="I11" s="9"/>
      <c r="K11" s="1">
        <f>IFERROR(VLOOKUP(Tabela47[[#This Row],[Entrega]],cálculos!$B$3:$C$7,2,0),0)</f>
        <v>0</v>
      </c>
      <c r="L11" s="1">
        <f>Tabela47[[#This Row],[SubTotal]]*(1-Tabela47[[#This Row],[Desconto]])+Tabela47[[#This Row],[Valor da Entrega]]</f>
        <v>0</v>
      </c>
      <c r="M11" s="1" t="str">
        <f>IF(Tabela47[[#This Row],[Id da Venda]]=B12,"",SUMIF(Tabela47[Id da Venda],Tabela47[[#This Row],[Id da Venda]],Tabela47[Total]))</f>
        <v/>
      </c>
    </row>
    <row r="12" spans="1:13" x14ac:dyDescent="0.3">
      <c r="C12" s="17"/>
      <c r="E12" t="str">
        <f>IFERROR(VLOOKUP(Tabela47[[#This Row],[Produtos]],cálculos!$I$3:$L$26,4,0),"")</f>
        <v/>
      </c>
      <c r="G12" s="1">
        <f>IFERROR(VLOOKUP(Tabela47[[#This Row],[Produtos]],cálculos!$I$3:$L$26,2,0),0)</f>
        <v>0</v>
      </c>
      <c r="H12" s="1">
        <f>Tabela47[[#This Row],[Preço Unitário]]*Tabela47[[#This Row],[Quantidade]]</f>
        <v>0</v>
      </c>
      <c r="I12" s="9"/>
      <c r="K12" s="1">
        <f>IFERROR(VLOOKUP(Tabela47[[#This Row],[Entrega]],cálculos!$B$3:$C$7,2,0),0)</f>
        <v>0</v>
      </c>
      <c r="L12" s="1">
        <f>Tabela47[[#This Row],[SubTotal]]*(1-Tabela47[[#This Row],[Desconto]])+Tabela47[[#This Row],[Valor da Entrega]]</f>
        <v>0</v>
      </c>
      <c r="M12" s="1" t="str">
        <f>IF(Tabela47[[#This Row],[Id da Venda]]=B13,"",SUMIF(Tabela47[Id da Venda],Tabela47[[#This Row],[Id da Venda]],Tabela47[Total]))</f>
        <v/>
      </c>
    </row>
    <row r="13" spans="1:13" x14ac:dyDescent="0.3">
      <c r="C13" s="17"/>
      <c r="E13" t="str">
        <f>IFERROR(VLOOKUP(Tabela47[[#This Row],[Produtos]],cálculos!$I$3:$L$26,4,0),"")</f>
        <v/>
      </c>
      <c r="G13" s="1">
        <f>IFERROR(VLOOKUP(Tabela47[[#This Row],[Produtos]],cálculos!$I$3:$L$26,2,0),0)</f>
        <v>0</v>
      </c>
      <c r="H13" s="1">
        <f>Tabela47[[#This Row],[Preço Unitário]]*Tabela47[[#This Row],[Quantidade]]</f>
        <v>0</v>
      </c>
      <c r="I13" s="9"/>
      <c r="K13" s="1">
        <f>IFERROR(VLOOKUP(Tabela47[[#This Row],[Entrega]],cálculos!$B$3:$C$7,2,0),0)</f>
        <v>0</v>
      </c>
      <c r="L13" s="1">
        <f>Tabela47[[#This Row],[SubTotal]]*(1-Tabela47[[#This Row],[Desconto]])+Tabela47[[#This Row],[Valor da Entrega]]</f>
        <v>0</v>
      </c>
      <c r="M13" s="1" t="str">
        <f>IF(Tabela47[[#This Row],[Id da Venda]]=B14,"",SUMIF(Tabela47[Id da Venda],Tabela47[[#This Row],[Id da Venda]],Tabela47[Total]))</f>
        <v/>
      </c>
    </row>
    <row r="14" spans="1:13" x14ac:dyDescent="0.3">
      <c r="C14" s="17"/>
      <c r="E14" t="str">
        <f>IFERROR(VLOOKUP(Tabela47[[#This Row],[Produtos]],cálculos!$I$3:$L$26,4,0),"")</f>
        <v/>
      </c>
      <c r="G14" s="1">
        <f>IFERROR(VLOOKUP(Tabela47[[#This Row],[Produtos]],cálculos!$I$3:$L$26,2,0),0)</f>
        <v>0</v>
      </c>
      <c r="H14" s="1">
        <f>Tabela47[[#This Row],[Preço Unitário]]*Tabela47[[#This Row],[Quantidade]]</f>
        <v>0</v>
      </c>
      <c r="I14" s="9"/>
      <c r="K14" s="1">
        <f>IFERROR(VLOOKUP(Tabela47[[#This Row],[Entrega]],cálculos!$B$3:$C$7,2,0),0)</f>
        <v>0</v>
      </c>
      <c r="L14" s="1">
        <f>Tabela47[[#This Row],[SubTotal]]*(1-Tabela47[[#This Row],[Desconto]])+Tabela47[[#This Row],[Valor da Entrega]]</f>
        <v>0</v>
      </c>
      <c r="M14" s="1" t="str">
        <f>IF(Tabela47[[#This Row],[Id da Venda]]=B15,"",SUMIF(Tabela47[Id da Venda],Tabela47[[#This Row],[Id da Venda]],Tabela47[Total]))</f>
        <v/>
      </c>
    </row>
    <row r="15" spans="1:13" x14ac:dyDescent="0.3">
      <c r="C15" s="17"/>
      <c r="E15" t="str">
        <f>IFERROR(VLOOKUP(Tabela47[[#This Row],[Produtos]],cálculos!$I$3:$L$26,4,0),"")</f>
        <v/>
      </c>
      <c r="G15" s="1">
        <f>IFERROR(VLOOKUP(Tabela47[[#This Row],[Produtos]],cálculos!$I$3:$L$26,2,0),0)</f>
        <v>0</v>
      </c>
      <c r="H15" s="1">
        <f>Tabela47[[#This Row],[Preço Unitário]]*Tabela47[[#This Row],[Quantidade]]</f>
        <v>0</v>
      </c>
      <c r="I15" s="9"/>
      <c r="K15" s="1">
        <f>IFERROR(VLOOKUP(Tabela47[[#This Row],[Entrega]],cálculos!$B$3:$C$7,2,0),0)</f>
        <v>0</v>
      </c>
      <c r="L15" s="1">
        <f>Tabela47[[#This Row],[SubTotal]]*(1-Tabela47[[#This Row],[Desconto]])+Tabela47[[#This Row],[Valor da Entrega]]</f>
        <v>0</v>
      </c>
      <c r="M15" s="1" t="str">
        <f>IF(Tabela47[[#This Row],[Id da Venda]]=B16,"",SUMIF(Tabela47[Id da Venda],Tabela47[[#This Row],[Id da Venda]],Tabela47[Total]))</f>
        <v/>
      </c>
    </row>
    <row r="16" spans="1:13" x14ac:dyDescent="0.3">
      <c r="C16" s="17"/>
      <c r="E16" t="str">
        <f>IFERROR(VLOOKUP(Tabela47[[#This Row],[Produtos]],cálculos!$I$3:$L$26,4,0),"")</f>
        <v/>
      </c>
      <c r="G16" s="1">
        <f>IFERROR(VLOOKUP(Tabela47[[#This Row],[Produtos]],cálculos!$I$3:$L$26,2,0),0)</f>
        <v>0</v>
      </c>
      <c r="H16" s="1">
        <f>Tabela47[[#This Row],[Preço Unitário]]*Tabela47[[#This Row],[Quantidade]]</f>
        <v>0</v>
      </c>
      <c r="I16" s="9"/>
      <c r="K16" s="1">
        <f>IFERROR(VLOOKUP(Tabela47[[#This Row],[Entrega]],cálculos!$B$3:$C$7,2,0),0)</f>
        <v>0</v>
      </c>
      <c r="L16" s="1">
        <f>Tabela47[[#This Row],[SubTotal]]*(1-Tabela47[[#This Row],[Desconto]])+Tabela47[[#This Row],[Valor da Entrega]]</f>
        <v>0</v>
      </c>
      <c r="M16" s="1" t="str">
        <f>IF(Tabela47[[#This Row],[Id da Venda]]=B17,"",SUMIF(Tabela47[Id da Venda],Tabela47[[#This Row],[Id da Venda]],Tabela47[Total]))</f>
        <v/>
      </c>
    </row>
    <row r="17" spans="2:13" x14ac:dyDescent="0.3">
      <c r="C17" s="17"/>
      <c r="E17" t="str">
        <f>IFERROR(VLOOKUP(Tabela47[[#This Row],[Produtos]],cálculos!$I$3:$L$26,4,0),"")</f>
        <v/>
      </c>
      <c r="G17" s="1">
        <f>IFERROR(VLOOKUP(Tabela47[[#This Row],[Produtos]],cálculos!$I$3:$L$26,2,0),0)</f>
        <v>0</v>
      </c>
      <c r="H17" s="1">
        <f>Tabela47[[#This Row],[Preço Unitário]]*Tabela47[[#This Row],[Quantidade]]</f>
        <v>0</v>
      </c>
      <c r="I17" s="9"/>
      <c r="K17" s="1">
        <f>IFERROR(VLOOKUP(Tabela47[[#This Row],[Entrega]],cálculos!$B$3:$C$7,2,0),0)</f>
        <v>0</v>
      </c>
      <c r="L17" s="1">
        <f>Tabela47[[#This Row],[SubTotal]]*(1-Tabela47[[#This Row],[Desconto]])+Tabela47[[#This Row],[Valor da Entrega]]</f>
        <v>0</v>
      </c>
      <c r="M17" s="1" t="str">
        <f>IF(Tabela47[[#This Row],[Id da Venda]]=B18,"",SUMIF(Tabela47[Id da Venda],Tabela47[[#This Row],[Id da Venda]],Tabela47[Total]))</f>
        <v/>
      </c>
    </row>
    <row r="18" spans="2:13" x14ac:dyDescent="0.3">
      <c r="C18" s="17"/>
      <c r="E18" t="str">
        <f>IFERROR(VLOOKUP(Tabela47[[#This Row],[Produtos]],cálculos!$I$3:$L$26,4,0),"")</f>
        <v/>
      </c>
      <c r="G18" s="1">
        <f>IFERROR(VLOOKUP(Tabela47[[#This Row],[Produtos]],cálculos!$I$3:$L$26,2,0),0)</f>
        <v>0</v>
      </c>
      <c r="H18" s="1">
        <f>Tabela47[[#This Row],[Preço Unitário]]*Tabela47[[#This Row],[Quantidade]]</f>
        <v>0</v>
      </c>
      <c r="I18" s="9"/>
      <c r="K18" s="1">
        <f>IFERROR(VLOOKUP(Tabela47[[#This Row],[Entrega]],cálculos!$B$3:$C$7,2,0),0)</f>
        <v>0</v>
      </c>
      <c r="L18" s="1">
        <f>Tabela47[[#This Row],[SubTotal]]*(1-Tabela47[[#This Row],[Desconto]])+Tabela47[[#This Row],[Valor da Entrega]]</f>
        <v>0</v>
      </c>
      <c r="M18" s="1" t="str">
        <f>IF(Tabela47[[#This Row],[Id da Venda]]=B19,"",SUMIF(Tabela47[Id da Venda],Tabela47[[#This Row],[Id da Venda]],Tabela47[Total]))</f>
        <v/>
      </c>
    </row>
    <row r="19" spans="2:13" x14ac:dyDescent="0.3">
      <c r="C19" s="17"/>
      <c r="E19" t="str">
        <f>IFERROR(VLOOKUP(Tabela47[[#This Row],[Produtos]],cálculos!$I$3:$L$26,4,0),"")</f>
        <v/>
      </c>
      <c r="G19" s="1">
        <f>IFERROR(VLOOKUP(Tabela47[[#This Row],[Produtos]],cálculos!$I$3:$L$26,2,0),0)</f>
        <v>0</v>
      </c>
      <c r="H19" s="1">
        <f>Tabela47[[#This Row],[Preço Unitário]]*Tabela47[[#This Row],[Quantidade]]</f>
        <v>0</v>
      </c>
      <c r="I19" s="9"/>
      <c r="K19" s="1">
        <f>IFERROR(VLOOKUP(Tabela47[[#This Row],[Entrega]],cálculos!$B$3:$C$7,2,0),0)</f>
        <v>0</v>
      </c>
      <c r="L19" s="1">
        <f>Tabela47[[#This Row],[SubTotal]]*(1-Tabela47[[#This Row],[Desconto]])+Tabela47[[#This Row],[Valor da Entrega]]</f>
        <v>0</v>
      </c>
      <c r="M19" s="1" t="str">
        <f>IF(Tabela47[[#This Row],[Id da Venda]]=B20,"",SUMIF(Tabela47[Id da Venda],Tabela47[[#This Row],[Id da Venda]],Tabela47[Total]))</f>
        <v/>
      </c>
    </row>
    <row r="20" spans="2:13" x14ac:dyDescent="0.3">
      <c r="C20" s="17"/>
      <c r="E20" t="str">
        <f>IFERROR(VLOOKUP(Tabela47[[#This Row],[Produtos]],cálculos!$I$3:$L$26,4,0),"")</f>
        <v/>
      </c>
      <c r="G20" s="1">
        <f>IFERROR(VLOOKUP(Tabela47[[#This Row],[Produtos]],cálculos!$I$3:$L$26,2,0),0)</f>
        <v>0</v>
      </c>
      <c r="H20" s="1">
        <f>Tabela47[[#This Row],[Preço Unitário]]*Tabela47[[#This Row],[Quantidade]]</f>
        <v>0</v>
      </c>
      <c r="I20" s="9"/>
      <c r="K20" s="1">
        <f>IFERROR(VLOOKUP(Tabela47[[#This Row],[Entrega]],cálculos!$B$3:$C$7,2,0),0)</f>
        <v>0</v>
      </c>
      <c r="L20" s="1">
        <f>Tabela47[[#This Row],[SubTotal]]*(1-Tabela47[[#This Row],[Desconto]])+Tabela47[[#This Row],[Valor da Entrega]]</f>
        <v>0</v>
      </c>
      <c r="M20" s="1" t="str">
        <f>IF(Tabela47[[#This Row],[Id da Venda]]=B21,"",SUMIF(Tabela47[Id da Venda],Tabela47[[#This Row],[Id da Venda]],Tabela47[Total]))</f>
        <v/>
      </c>
    </row>
    <row r="21" spans="2:13" x14ac:dyDescent="0.3">
      <c r="C21" s="17"/>
      <c r="E21" t="str">
        <f>IFERROR(VLOOKUP(Tabela47[[#This Row],[Produtos]],cálculos!$I$3:$L$26,4,0),"")</f>
        <v/>
      </c>
      <c r="G21" s="1">
        <f>IFERROR(VLOOKUP(Tabela47[[#This Row],[Produtos]],cálculos!$I$3:$L$26,2,0),0)</f>
        <v>0</v>
      </c>
      <c r="H21" s="1">
        <f>Tabela47[[#This Row],[Preço Unitário]]*Tabela47[[#This Row],[Quantidade]]</f>
        <v>0</v>
      </c>
      <c r="I21" s="9"/>
      <c r="K21" s="1">
        <f>IFERROR(VLOOKUP(Tabela47[[#This Row],[Entrega]],cálculos!$B$3:$C$7,2,0),0)</f>
        <v>0</v>
      </c>
      <c r="L21" s="1">
        <f>Tabela47[[#This Row],[SubTotal]]*(1-Tabela47[[#This Row],[Desconto]])+Tabela47[[#This Row],[Valor da Entrega]]</f>
        <v>0</v>
      </c>
      <c r="M21" s="1" t="str">
        <f>IF(Tabela47[[#This Row],[Id da Venda]]=B22,"",SUMIF(Tabela47[Id da Venda],Tabela47[[#This Row],[Id da Venda]],Tabela47[Total]))</f>
        <v/>
      </c>
    </row>
    <row r="22" spans="2:13" x14ac:dyDescent="0.3">
      <c r="C22" s="17"/>
      <c r="E22" t="str">
        <f>IFERROR(VLOOKUP(Tabela47[[#This Row],[Produtos]],cálculos!$I$3:$L$26,4,0),"")</f>
        <v/>
      </c>
      <c r="G22" s="1">
        <f>IFERROR(VLOOKUP(Tabela47[[#This Row],[Produtos]],cálculos!$I$3:$L$26,2,0),0)</f>
        <v>0</v>
      </c>
      <c r="H22" s="1">
        <f>Tabela47[[#This Row],[Preço Unitário]]*Tabela47[[#This Row],[Quantidade]]</f>
        <v>0</v>
      </c>
      <c r="I22" s="9"/>
      <c r="K22" s="1">
        <f>IFERROR(VLOOKUP(Tabela47[[#This Row],[Entrega]],cálculos!$B$3:$C$7,2,0),0)</f>
        <v>0</v>
      </c>
      <c r="L22" s="1">
        <f>Tabela47[[#This Row],[SubTotal]]*(1-Tabela47[[#This Row],[Desconto]])+Tabela47[[#This Row],[Valor da Entrega]]</f>
        <v>0</v>
      </c>
      <c r="M22" s="1" t="str">
        <f>IF(Tabela47[[#This Row],[Id da Venda]]=B23,"",SUMIF(Tabela47[Id da Venda],Tabela47[[#This Row],[Id da Venda]],Tabela47[Total]))</f>
        <v/>
      </c>
    </row>
    <row r="23" spans="2:13" x14ac:dyDescent="0.3">
      <c r="C23" s="17"/>
      <c r="E23" t="str">
        <f>IFERROR(VLOOKUP(Tabela47[[#This Row],[Produtos]],cálculos!$I$3:$L$26,4,0),"")</f>
        <v/>
      </c>
      <c r="G23" s="1">
        <f>IFERROR(VLOOKUP(Tabela47[[#This Row],[Produtos]],cálculos!$I$3:$L$26,2,0),0)</f>
        <v>0</v>
      </c>
      <c r="H23" s="1">
        <f>Tabela47[[#This Row],[Preço Unitário]]*Tabela47[[#This Row],[Quantidade]]</f>
        <v>0</v>
      </c>
      <c r="I23" s="9"/>
      <c r="K23" s="1">
        <f>IFERROR(VLOOKUP(Tabela47[[#This Row],[Entrega]],cálculos!$B$3:$C$7,2,0),0)</f>
        <v>0</v>
      </c>
      <c r="L23" s="1">
        <f>Tabela47[[#This Row],[SubTotal]]*(1-Tabela47[[#This Row],[Desconto]])+Tabela47[[#This Row],[Valor da Entrega]]</f>
        <v>0</v>
      </c>
      <c r="M23" s="1" t="str">
        <f>IF(Tabela47[[#This Row],[Id da Venda]]=B24,"",SUMIF(Tabela47[Id da Venda],Tabela47[[#This Row],[Id da Venda]],Tabela47[Total]))</f>
        <v/>
      </c>
    </row>
    <row r="24" spans="2:13" x14ac:dyDescent="0.3">
      <c r="C24" s="17"/>
      <c r="E24" t="str">
        <f>IFERROR(VLOOKUP(Tabela47[[#This Row],[Produtos]],cálculos!$I$3:$L$26,4,0),"")</f>
        <v/>
      </c>
      <c r="G24" s="1">
        <f>IFERROR(VLOOKUP(Tabela47[[#This Row],[Produtos]],cálculos!$I$3:$L$26,2,0),0)</f>
        <v>0</v>
      </c>
      <c r="H24" s="1">
        <f>Tabela47[[#This Row],[Preço Unitário]]*Tabela47[[#This Row],[Quantidade]]</f>
        <v>0</v>
      </c>
      <c r="I24" s="9"/>
      <c r="K24" s="1">
        <f>IFERROR(VLOOKUP(Tabela47[[#This Row],[Entrega]],cálculos!$B$3:$C$7,2,0),0)</f>
        <v>0</v>
      </c>
      <c r="L24" s="1">
        <f>Tabela47[[#This Row],[SubTotal]]*(1-Tabela47[[#This Row],[Desconto]])+Tabela47[[#This Row],[Valor da Entrega]]</f>
        <v>0</v>
      </c>
      <c r="M24" s="1" t="str">
        <f>IF(Tabela47[[#This Row],[Id da Venda]]=B25,"",SUMIF(Tabela47[Id da Venda],Tabela47[[#This Row],[Id da Venda]],Tabela47[Total]))</f>
        <v/>
      </c>
    </row>
    <row r="25" spans="2:13" x14ac:dyDescent="0.3">
      <c r="C25" s="17"/>
      <c r="E25" t="str">
        <f>IFERROR(VLOOKUP(Tabela47[[#This Row],[Produtos]],cálculos!$I$3:$L$26,4,0),"")</f>
        <v/>
      </c>
      <c r="G25" s="1">
        <f>IFERROR(VLOOKUP(Tabela47[[#This Row],[Produtos]],cálculos!$I$3:$L$26,2,0),0)</f>
        <v>0</v>
      </c>
      <c r="H25" s="1">
        <f>Tabela47[[#This Row],[Preço Unitário]]*Tabela47[[#This Row],[Quantidade]]</f>
        <v>0</v>
      </c>
      <c r="I25" s="9"/>
      <c r="K25" s="1">
        <f>IFERROR(VLOOKUP(Tabela47[[#This Row],[Entrega]],cálculos!$B$3:$C$7,2,0),0)</f>
        <v>0</v>
      </c>
      <c r="L25" s="1">
        <f>Tabela47[[#This Row],[SubTotal]]*(1-Tabela47[[#This Row],[Desconto]])+Tabela47[[#This Row],[Valor da Entrega]]</f>
        <v>0</v>
      </c>
      <c r="M25" s="1" t="str">
        <f>IF(Tabela47[[#This Row],[Id da Venda]]=B26,"",SUMIF(Tabela47[Id da Venda],Tabela47[[#This Row],[Id da Venda]],Tabela47[Total]))</f>
        <v/>
      </c>
    </row>
    <row r="26" spans="2:13" x14ac:dyDescent="0.3">
      <c r="C26" s="17"/>
      <c r="E26" t="str">
        <f>IFERROR(VLOOKUP(Tabela47[[#This Row],[Produtos]],cálculos!$I$3:$L$26,4,0),"")</f>
        <v/>
      </c>
      <c r="G26" s="1">
        <f>IFERROR(VLOOKUP(Tabela47[[#This Row],[Produtos]],cálculos!$I$3:$L$26,2,0),0)</f>
        <v>0</v>
      </c>
      <c r="H26" s="1">
        <f>Tabela47[[#This Row],[Preço Unitário]]*Tabela47[[#This Row],[Quantidade]]</f>
        <v>0</v>
      </c>
      <c r="I26" s="9"/>
      <c r="K26" s="1">
        <f>IFERROR(VLOOKUP(Tabela47[[#This Row],[Entrega]],cálculos!$B$3:$C$7,2,0),0)</f>
        <v>0</v>
      </c>
      <c r="L26" s="1">
        <f>Tabela47[[#This Row],[SubTotal]]*(1-Tabela47[[#This Row],[Desconto]])+Tabela47[[#This Row],[Valor da Entrega]]</f>
        <v>0</v>
      </c>
      <c r="M26" s="1" t="str">
        <f>IF(Tabela47[[#This Row],[Id da Venda]]=B27,"",SUMIF(Tabela47[Id da Venda],Tabela47[[#This Row],[Id da Venda]],Tabela47[Total]))</f>
        <v/>
      </c>
    </row>
    <row r="27" spans="2:13" x14ac:dyDescent="0.3">
      <c r="C27" s="17"/>
      <c r="E27" t="str">
        <f>IFERROR(VLOOKUP(Tabela47[[#This Row],[Produtos]],cálculos!$I$3:$L$26,4,0),"")</f>
        <v/>
      </c>
      <c r="G27" s="1">
        <f>IFERROR(VLOOKUP(Tabela47[[#This Row],[Produtos]],cálculos!$I$3:$L$26,2,0),0)</f>
        <v>0</v>
      </c>
      <c r="H27" s="1">
        <f>Tabela47[[#This Row],[Preço Unitário]]*Tabela47[[#This Row],[Quantidade]]</f>
        <v>0</v>
      </c>
      <c r="I27" s="9"/>
      <c r="K27" s="1">
        <f>IFERROR(VLOOKUP(Tabela47[[#This Row],[Entrega]],cálculos!$B$3:$C$7,2,0),0)</f>
        <v>0</v>
      </c>
      <c r="L27" s="1">
        <f>Tabela47[[#This Row],[SubTotal]]*(1-Tabela47[[#This Row],[Desconto]])+Tabela47[[#This Row],[Valor da Entrega]]</f>
        <v>0</v>
      </c>
      <c r="M27" s="1" t="str">
        <f>IF(Tabela47[[#This Row],[Id da Venda]]=B28,"",SUMIF(Tabela47[Id da Venda],Tabela47[[#This Row],[Id da Venda]],Tabela47[Total]))</f>
        <v/>
      </c>
    </row>
    <row r="28" spans="2:13" x14ac:dyDescent="0.3">
      <c r="C28" s="17"/>
      <c r="E28" t="str">
        <f>IFERROR(VLOOKUP(Tabela47[[#This Row],[Produtos]],cálculos!$I$3:$L$26,4,0),"")</f>
        <v/>
      </c>
      <c r="G28" s="1">
        <f>IFERROR(VLOOKUP(Tabela47[[#This Row],[Produtos]],cálculos!$I$3:$L$26,2,0),0)</f>
        <v>0</v>
      </c>
      <c r="H28" s="1">
        <f>Tabela47[[#This Row],[Preço Unitário]]*Tabela47[[#This Row],[Quantidade]]</f>
        <v>0</v>
      </c>
      <c r="I28" s="9"/>
      <c r="K28" s="1">
        <f>IFERROR(VLOOKUP(Tabela47[[#This Row],[Entrega]],cálculos!$B$3:$C$7,2,0),0)</f>
        <v>0</v>
      </c>
      <c r="L28" s="1">
        <f>Tabela47[[#This Row],[SubTotal]]*(1-Tabela47[[#This Row],[Desconto]])+Tabela47[[#This Row],[Valor da Entrega]]</f>
        <v>0</v>
      </c>
      <c r="M28" s="1" t="str">
        <f>IF(Tabela47[[#This Row],[Id da Venda]]=B29,"",SUMIF(Tabela47[Id da Venda],Tabela47[[#This Row],[Id da Venda]],Tabela47[Total]))</f>
        <v/>
      </c>
    </row>
    <row r="29" spans="2:13" x14ac:dyDescent="0.3">
      <c r="C29" s="17"/>
      <c r="E29" t="str">
        <f>IFERROR(VLOOKUP(Tabela47[[#This Row],[Produtos]],cálculos!$I$3:$L$26,4,0),"")</f>
        <v/>
      </c>
      <c r="G29" s="1">
        <f>IFERROR(VLOOKUP(Tabela47[[#This Row],[Produtos]],cálculos!$I$3:$L$26,2,0),0)</f>
        <v>0</v>
      </c>
      <c r="H29" s="1">
        <f>Tabela47[[#This Row],[Preço Unitário]]*Tabela47[[#This Row],[Quantidade]]</f>
        <v>0</v>
      </c>
      <c r="I29" s="9"/>
      <c r="K29" s="1">
        <f>IFERROR(VLOOKUP(Tabela47[[#This Row],[Entrega]],cálculos!$B$3:$C$7,2,0),0)</f>
        <v>0</v>
      </c>
      <c r="L29" s="1">
        <f>Tabela47[[#This Row],[SubTotal]]*(1-Tabela47[[#This Row],[Desconto]])+Tabela47[[#This Row],[Valor da Entrega]]</f>
        <v>0</v>
      </c>
      <c r="M29" s="1" t="str">
        <f>IF(Tabela47[[#This Row],[Id da Venda]]=B30,"",SUMIF(Tabela47[Id da Venda],Tabela47[[#This Row],[Id da Venda]],Tabela47[Total]))</f>
        <v/>
      </c>
    </row>
    <row r="31" spans="2:13" ht="21" x14ac:dyDescent="0.4">
      <c r="B31" s="18" t="s">
        <v>110</v>
      </c>
      <c r="C31" s="18"/>
      <c r="D31" s="18"/>
      <c r="E31" s="19"/>
      <c r="F31" s="19"/>
      <c r="G31" s="19"/>
      <c r="H31" s="19"/>
      <c r="I31" s="19"/>
      <c r="J31" s="19"/>
      <c r="K31" s="19"/>
      <c r="L31" s="20">
        <f>SUM(Tabela47[Valor da Entrega])</f>
        <v>0</v>
      </c>
    </row>
    <row r="32" spans="2:13" ht="21" x14ac:dyDescent="0.4">
      <c r="B32" s="21" t="s">
        <v>133</v>
      </c>
      <c r="C32" s="22"/>
      <c r="D32" s="22"/>
      <c r="E32" s="22"/>
      <c r="F32" s="22"/>
      <c r="G32" s="22"/>
      <c r="H32" s="22"/>
      <c r="I32" s="22"/>
      <c r="J32" s="22"/>
      <c r="K32" s="22"/>
      <c r="L32" s="23">
        <f>SUM(Tabela47[Total])</f>
        <v>2.1849999999999996</v>
      </c>
    </row>
    <row r="33" spans="2:12" ht="21" x14ac:dyDescent="0.4">
      <c r="B33" s="21" t="s">
        <v>134</v>
      </c>
      <c r="C33" s="22"/>
      <c r="D33" s="22"/>
      <c r="E33" s="22"/>
      <c r="F33" s="22"/>
      <c r="G33" s="22"/>
      <c r="H33" s="22"/>
      <c r="I33" s="22"/>
      <c r="J33" s="22"/>
      <c r="K33" s="22"/>
      <c r="L33" s="47">
        <f>SUM(IF(FREQUENCY(Tabela47[Id da Venda],Tabela47[Id da Venda])&gt;0,1))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cálculos!$I$3:$I$26</xm:f>
          </x14:formula1>
          <xm:sqref>D5:D29</xm:sqref>
        </x14:dataValidation>
        <x14:dataValidation type="list" allowBlank="1" showInputMessage="1" showErrorMessage="1" xr:uid="{00000000-0002-0000-0900-000001000000}">
          <x14:formula1>
            <xm:f>cálculos!$B$3:$B$7</xm:f>
          </x14:formula1>
          <xm:sqref>J5:J29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5"/>
  <dimension ref="A3:D23"/>
  <sheetViews>
    <sheetView showGridLines="0" workbookViewId="0">
      <selection activeCell="A19" sqref="A19"/>
    </sheetView>
  </sheetViews>
  <sheetFormatPr defaultRowHeight="14.4" x14ac:dyDescent="0.3"/>
  <cols>
    <col min="1" max="1" width="18" customWidth="1"/>
    <col min="2" max="2" width="23.88671875" bestFit="1" customWidth="1"/>
    <col min="3" max="3" width="13.5546875" bestFit="1" customWidth="1"/>
    <col min="4" max="4" width="19.6640625" bestFit="1" customWidth="1"/>
  </cols>
  <sheetData>
    <row r="3" spans="1:3" x14ac:dyDescent="0.3">
      <c r="A3" s="24" t="s">
        <v>154</v>
      </c>
      <c r="B3" t="s">
        <v>127</v>
      </c>
      <c r="C3" t="s">
        <v>124</v>
      </c>
    </row>
    <row r="4" spans="1:3" x14ac:dyDescent="0.3">
      <c r="A4" s="25" t="s">
        <v>126</v>
      </c>
      <c r="C4" s="28">
        <v>0</v>
      </c>
    </row>
    <row r="5" spans="1:3" x14ac:dyDescent="0.3">
      <c r="A5" s="25">
        <v>42190</v>
      </c>
      <c r="B5">
        <v>2</v>
      </c>
      <c r="C5" s="28">
        <v>2.1849999999999996</v>
      </c>
    </row>
    <row r="6" spans="1:3" x14ac:dyDescent="0.3">
      <c r="A6" s="25" t="s">
        <v>123</v>
      </c>
      <c r="B6">
        <v>2</v>
      </c>
      <c r="C6" s="28">
        <v>2.1849999999999996</v>
      </c>
    </row>
    <row r="18" spans="1:4" x14ac:dyDescent="0.3">
      <c r="A18" s="24" t="s">
        <v>155</v>
      </c>
      <c r="B18" t="s">
        <v>125</v>
      </c>
      <c r="C18" t="s">
        <v>124</v>
      </c>
      <c r="D18" t="s">
        <v>127</v>
      </c>
    </row>
    <row r="19" spans="1:4" x14ac:dyDescent="0.3">
      <c r="A19" s="26" t="s">
        <v>126</v>
      </c>
      <c r="B19" s="28">
        <v>0</v>
      </c>
      <c r="C19" s="29">
        <v>0</v>
      </c>
    </row>
    <row r="20" spans="1:4" x14ac:dyDescent="0.3">
      <c r="A20" s="27" t="s">
        <v>126</v>
      </c>
      <c r="B20" s="28">
        <v>0</v>
      </c>
      <c r="C20" s="29">
        <v>0</v>
      </c>
    </row>
    <row r="21" spans="1:4" x14ac:dyDescent="0.3">
      <c r="A21" s="26" t="s">
        <v>106</v>
      </c>
      <c r="B21" s="28">
        <v>0</v>
      </c>
      <c r="C21" s="29">
        <v>2.1849999999999996</v>
      </c>
      <c r="D21">
        <v>2</v>
      </c>
    </row>
    <row r="22" spans="1:4" x14ac:dyDescent="0.3">
      <c r="A22" s="27" t="s">
        <v>42</v>
      </c>
      <c r="B22" s="28">
        <v>0</v>
      </c>
      <c r="C22" s="29">
        <v>2.1849999999999996</v>
      </c>
      <c r="D22">
        <v>2</v>
      </c>
    </row>
    <row r="23" spans="1:4" x14ac:dyDescent="0.3">
      <c r="A23" s="26" t="s">
        <v>123</v>
      </c>
      <c r="B23" s="28">
        <v>0</v>
      </c>
      <c r="C23" s="29">
        <v>2.1849999999999996</v>
      </c>
      <c r="D23">
        <v>2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2:M33"/>
  <sheetViews>
    <sheetView showGridLines="0" topLeftCell="A13" workbookViewId="0">
      <selection activeCell="A13" sqref="A13"/>
    </sheetView>
  </sheetViews>
  <sheetFormatPr defaultRowHeight="14.4" x14ac:dyDescent="0.3"/>
  <cols>
    <col min="1" max="1" width="21.5546875" customWidth="1"/>
    <col min="2" max="2" width="13.5546875" customWidth="1"/>
    <col min="3" max="3" width="16.109375" bestFit="1" customWidth="1"/>
    <col min="4" max="4" width="16.6640625" customWidth="1"/>
    <col min="5" max="5" width="13.5546875" customWidth="1"/>
    <col min="6" max="6" width="15.6640625" customWidth="1"/>
    <col min="7" max="7" width="16.109375" bestFit="1" customWidth="1"/>
    <col min="8" max="9" width="13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3" s="16" customFormat="1" ht="27.9" customHeight="1" x14ac:dyDescent="0.3">
      <c r="A2" s="14"/>
      <c r="B2" s="14" t="s">
        <v>113</v>
      </c>
      <c r="C2" s="15"/>
      <c r="D2" s="15"/>
      <c r="G2" s="15"/>
      <c r="H2" s="15"/>
      <c r="I2" s="15"/>
      <c r="J2" s="15"/>
      <c r="K2" s="15"/>
    </row>
    <row r="3" spans="1:13" ht="32.25" customHeight="1" x14ac:dyDescent="0.3"/>
    <row r="4" spans="1:13" x14ac:dyDescent="0.3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3">
      <c r="C5" s="17"/>
      <c r="E5" t="str">
        <f>IFERROR(VLOOKUP(Tabela48[[#This Row],[Produtos]],cálculos!$I$3:$L$26,4,0),"")</f>
        <v/>
      </c>
      <c r="G5" s="1">
        <f>IFERROR(VLOOKUP(Tabela48[[#This Row],[Produtos]],cálculos!$I$3:$L$26,2,0),0)</f>
        <v>0</v>
      </c>
      <c r="H5" s="1">
        <f>Tabela48[[#This Row],[Preço Unitário]]*Tabela48[[#This Row],[Quantidade]]</f>
        <v>0</v>
      </c>
      <c r="I5" s="9"/>
      <c r="K5" s="1">
        <f>IFERROR(VLOOKUP(Tabela48[[#This Row],[Entrega]],cálculos!$B$3:$C$7,2,0),0)</f>
        <v>0</v>
      </c>
      <c r="L5" s="1">
        <f>Tabela48[[#This Row],[SubTotal]]*(1-Tabela48[[#This Row],[Desconto]])+Tabela48[[#This Row],[Valor da Entrega]]</f>
        <v>0</v>
      </c>
      <c r="M5" s="1" t="str">
        <f>IF(Tabela48[[#This Row],[Id da Venda]]=B6,"",SUMIF(Tabela48[Id da Venda],Tabela48[[#This Row],[Id da Venda]],Tabela48[Total]))</f>
        <v/>
      </c>
    </row>
    <row r="6" spans="1:13" x14ac:dyDescent="0.3">
      <c r="C6" s="17"/>
      <c r="E6" t="str">
        <f>IFERROR(VLOOKUP(Tabela48[[#This Row],[Produtos]],cálculos!$I$3:$L$26,4,0),"")</f>
        <v/>
      </c>
      <c r="G6" s="1">
        <f>IFERROR(VLOOKUP(Tabela48[[#This Row],[Produtos]],cálculos!$I$3:$L$26,2,0),0)</f>
        <v>0</v>
      </c>
      <c r="H6" s="1">
        <f>Tabela48[[#This Row],[Preço Unitário]]*Tabela48[[#This Row],[Quantidade]]</f>
        <v>0</v>
      </c>
      <c r="I6" s="9"/>
      <c r="K6" s="1">
        <f>IFERROR(VLOOKUP(Tabela48[[#This Row],[Entrega]],cálculos!$B$3:$C$7,2,0),0)</f>
        <v>0</v>
      </c>
      <c r="L6" s="1">
        <f>Tabela48[[#This Row],[SubTotal]]*(1-Tabela48[[#This Row],[Desconto]])+Tabela48[[#This Row],[Valor da Entrega]]</f>
        <v>0</v>
      </c>
      <c r="M6" s="1" t="str">
        <f>IF(Tabela48[[#This Row],[Id da Venda]]=B7,"",SUMIF(Tabela48[Id da Venda],Tabela48[[#This Row],[Id da Venda]],Tabela48[Total]))</f>
        <v/>
      </c>
    </row>
    <row r="7" spans="1:13" x14ac:dyDescent="0.3">
      <c r="C7" s="17"/>
      <c r="E7" t="str">
        <f>IFERROR(VLOOKUP(Tabela48[[#This Row],[Produtos]],cálculos!$I$3:$L$26,4,0),"")</f>
        <v/>
      </c>
      <c r="G7" s="1">
        <f>IFERROR(VLOOKUP(Tabela48[[#This Row],[Produtos]],cálculos!$I$3:$L$26,2,0),0)</f>
        <v>0</v>
      </c>
      <c r="H7" s="1">
        <f>Tabela48[[#This Row],[Preço Unitário]]*Tabela48[[#This Row],[Quantidade]]</f>
        <v>0</v>
      </c>
      <c r="I7" s="9"/>
      <c r="K7" s="1">
        <f>IFERROR(VLOOKUP(Tabela48[[#This Row],[Entrega]],cálculos!$B$3:$C$7,2,0),0)</f>
        <v>0</v>
      </c>
      <c r="L7" s="1">
        <f>Tabela48[[#This Row],[SubTotal]]*(1-Tabela48[[#This Row],[Desconto]])+Tabela48[[#This Row],[Valor da Entrega]]</f>
        <v>0</v>
      </c>
      <c r="M7" s="1" t="str">
        <f>IF(Tabela48[[#This Row],[Id da Venda]]=B8,"",SUMIF(Tabela48[Id da Venda],Tabela48[[#This Row],[Id da Venda]],Tabela48[Total]))</f>
        <v/>
      </c>
    </row>
    <row r="8" spans="1:13" x14ac:dyDescent="0.3">
      <c r="C8" s="17"/>
      <c r="E8" t="str">
        <f>IFERROR(VLOOKUP(Tabela48[[#This Row],[Produtos]],cálculos!$I$3:$L$26,4,0),"")</f>
        <v/>
      </c>
      <c r="G8" s="1">
        <f>IFERROR(VLOOKUP(Tabela48[[#This Row],[Produtos]],cálculos!$I$3:$L$26,2,0),0)</f>
        <v>0</v>
      </c>
      <c r="H8" s="1">
        <f>Tabela48[[#This Row],[Preço Unitário]]*Tabela48[[#This Row],[Quantidade]]</f>
        <v>0</v>
      </c>
      <c r="I8" s="9"/>
      <c r="K8" s="1">
        <f>IFERROR(VLOOKUP(Tabela48[[#This Row],[Entrega]],cálculos!$B$3:$C$7,2,0),0)</f>
        <v>0</v>
      </c>
      <c r="L8" s="1">
        <f>Tabela48[[#This Row],[SubTotal]]*(1-Tabela48[[#This Row],[Desconto]])+Tabela48[[#This Row],[Valor da Entrega]]</f>
        <v>0</v>
      </c>
      <c r="M8" s="1" t="str">
        <f>IF(Tabela48[[#This Row],[Id da Venda]]=B9,"",SUMIF(Tabela48[Id da Venda],Tabela48[[#This Row],[Id da Venda]],Tabela48[Total]))</f>
        <v/>
      </c>
    </row>
    <row r="9" spans="1:13" x14ac:dyDescent="0.3">
      <c r="C9" s="17"/>
      <c r="E9" t="str">
        <f>IFERROR(VLOOKUP(Tabela48[[#This Row],[Produtos]],cálculos!$I$3:$L$26,4,0),"")</f>
        <v/>
      </c>
      <c r="G9" s="1">
        <f>IFERROR(VLOOKUP(Tabela48[[#This Row],[Produtos]],cálculos!$I$3:$L$26,2,0),0)</f>
        <v>0</v>
      </c>
      <c r="H9" s="1">
        <f>Tabela48[[#This Row],[Preço Unitário]]*Tabela48[[#This Row],[Quantidade]]</f>
        <v>0</v>
      </c>
      <c r="I9" s="9"/>
      <c r="K9" s="1">
        <f>IFERROR(VLOOKUP(Tabela48[[#This Row],[Entrega]],cálculos!$B$3:$C$7,2,0),0)</f>
        <v>0</v>
      </c>
      <c r="L9" s="1">
        <f>Tabela48[[#This Row],[SubTotal]]*(1-Tabela48[[#This Row],[Desconto]])+Tabela48[[#This Row],[Valor da Entrega]]</f>
        <v>0</v>
      </c>
      <c r="M9" s="1" t="str">
        <f>IF(Tabela48[[#This Row],[Id da Venda]]=B10,"",SUMIF(Tabela48[Id da Venda],Tabela48[[#This Row],[Id da Venda]],Tabela48[Total]))</f>
        <v/>
      </c>
    </row>
    <row r="10" spans="1:13" x14ac:dyDescent="0.3">
      <c r="C10" s="17"/>
      <c r="E10" t="str">
        <f>IFERROR(VLOOKUP(Tabela48[[#This Row],[Produtos]],cálculos!$I$3:$L$26,4,0),"")</f>
        <v/>
      </c>
      <c r="G10" s="1">
        <f>IFERROR(VLOOKUP(Tabela48[[#This Row],[Produtos]],cálculos!$I$3:$L$26,2,0),0)</f>
        <v>0</v>
      </c>
      <c r="H10" s="1">
        <f>Tabela48[[#This Row],[Preço Unitário]]*Tabela48[[#This Row],[Quantidade]]</f>
        <v>0</v>
      </c>
      <c r="I10" s="9"/>
      <c r="K10" s="1">
        <f>IFERROR(VLOOKUP(Tabela48[[#This Row],[Entrega]],cálculos!$B$3:$C$7,2,0),0)</f>
        <v>0</v>
      </c>
      <c r="L10" s="1">
        <f>Tabela48[[#This Row],[SubTotal]]*(1-Tabela48[[#This Row],[Desconto]])+Tabela48[[#This Row],[Valor da Entrega]]</f>
        <v>0</v>
      </c>
      <c r="M10" s="1" t="str">
        <f>IF(Tabela48[[#This Row],[Id da Venda]]=B11,"",SUMIF(Tabela48[Id da Venda],Tabela48[[#This Row],[Id da Venda]],Tabela48[Total]))</f>
        <v/>
      </c>
    </row>
    <row r="11" spans="1:13" x14ac:dyDescent="0.3">
      <c r="C11" s="17"/>
      <c r="E11" t="str">
        <f>IFERROR(VLOOKUP(Tabela48[[#This Row],[Produtos]],cálculos!$I$3:$L$26,4,0),"")</f>
        <v/>
      </c>
      <c r="G11" s="1">
        <f>IFERROR(VLOOKUP(Tabela48[[#This Row],[Produtos]],cálculos!$I$3:$L$26,2,0),0)</f>
        <v>0</v>
      </c>
      <c r="H11" s="1">
        <f>Tabela48[[#This Row],[Preço Unitário]]*Tabela48[[#This Row],[Quantidade]]</f>
        <v>0</v>
      </c>
      <c r="I11" s="9"/>
      <c r="K11" s="1">
        <f>IFERROR(VLOOKUP(Tabela48[[#This Row],[Entrega]],cálculos!$B$3:$C$7,2,0),0)</f>
        <v>0</v>
      </c>
      <c r="L11" s="1">
        <f>Tabela48[[#This Row],[SubTotal]]*(1-Tabela48[[#This Row],[Desconto]])+Tabela48[[#This Row],[Valor da Entrega]]</f>
        <v>0</v>
      </c>
      <c r="M11" s="1" t="str">
        <f>IF(Tabela48[[#This Row],[Id da Venda]]=B12,"",SUMIF(Tabela48[Id da Venda],Tabela48[[#This Row],[Id da Venda]],Tabela48[Total]))</f>
        <v/>
      </c>
    </row>
    <row r="12" spans="1:13" x14ac:dyDescent="0.3">
      <c r="C12" s="17"/>
      <c r="E12" t="str">
        <f>IFERROR(VLOOKUP(Tabela48[[#This Row],[Produtos]],cálculos!$I$3:$L$26,4,0),"")</f>
        <v/>
      </c>
      <c r="G12" s="1">
        <f>IFERROR(VLOOKUP(Tabela48[[#This Row],[Produtos]],cálculos!$I$3:$L$26,2,0),0)</f>
        <v>0</v>
      </c>
      <c r="H12" s="1">
        <f>Tabela48[[#This Row],[Preço Unitário]]*Tabela48[[#This Row],[Quantidade]]</f>
        <v>0</v>
      </c>
      <c r="I12" s="9"/>
      <c r="K12" s="1">
        <f>IFERROR(VLOOKUP(Tabela48[[#This Row],[Entrega]],cálculos!$B$3:$C$7,2,0),0)</f>
        <v>0</v>
      </c>
      <c r="L12" s="1">
        <f>Tabela48[[#This Row],[SubTotal]]*(1-Tabela48[[#This Row],[Desconto]])+Tabela48[[#This Row],[Valor da Entrega]]</f>
        <v>0</v>
      </c>
      <c r="M12" s="1" t="str">
        <f>IF(Tabela48[[#This Row],[Id da Venda]]=B13,"",SUMIF(Tabela48[Id da Venda],Tabela48[[#This Row],[Id da Venda]],Tabela48[Total]))</f>
        <v/>
      </c>
    </row>
    <row r="13" spans="1:13" x14ac:dyDescent="0.3">
      <c r="C13" s="17"/>
      <c r="E13" t="str">
        <f>IFERROR(VLOOKUP(Tabela48[[#This Row],[Produtos]],cálculos!$I$3:$L$26,4,0),"")</f>
        <v/>
      </c>
      <c r="G13" s="1">
        <f>IFERROR(VLOOKUP(Tabela48[[#This Row],[Produtos]],cálculos!$I$3:$L$26,2,0),0)</f>
        <v>0</v>
      </c>
      <c r="H13" s="1">
        <f>Tabela48[[#This Row],[Preço Unitário]]*Tabela48[[#This Row],[Quantidade]]</f>
        <v>0</v>
      </c>
      <c r="I13" s="9"/>
      <c r="K13" s="1">
        <f>IFERROR(VLOOKUP(Tabela48[[#This Row],[Entrega]],cálculos!$B$3:$C$7,2,0),0)</f>
        <v>0</v>
      </c>
      <c r="L13" s="1">
        <f>Tabela48[[#This Row],[SubTotal]]*(1-Tabela48[[#This Row],[Desconto]])+Tabela48[[#This Row],[Valor da Entrega]]</f>
        <v>0</v>
      </c>
      <c r="M13" s="1" t="str">
        <f>IF(Tabela48[[#This Row],[Id da Venda]]=B14,"",SUMIF(Tabela48[Id da Venda],Tabela48[[#This Row],[Id da Venda]],Tabela48[Total]))</f>
        <v/>
      </c>
    </row>
    <row r="14" spans="1:13" x14ac:dyDescent="0.3">
      <c r="C14" s="17"/>
      <c r="E14" t="str">
        <f>IFERROR(VLOOKUP(Tabela48[[#This Row],[Produtos]],cálculos!$I$3:$L$26,4,0),"")</f>
        <v/>
      </c>
      <c r="G14" s="1">
        <f>IFERROR(VLOOKUP(Tabela48[[#This Row],[Produtos]],cálculos!$I$3:$L$26,2,0),0)</f>
        <v>0</v>
      </c>
      <c r="H14" s="1">
        <f>Tabela48[[#This Row],[Preço Unitário]]*Tabela48[[#This Row],[Quantidade]]</f>
        <v>0</v>
      </c>
      <c r="I14" s="9"/>
      <c r="K14" s="1">
        <f>IFERROR(VLOOKUP(Tabela48[[#This Row],[Entrega]],cálculos!$B$3:$C$7,2,0),0)</f>
        <v>0</v>
      </c>
      <c r="L14" s="1">
        <f>Tabela48[[#This Row],[SubTotal]]*(1-Tabela48[[#This Row],[Desconto]])+Tabela48[[#This Row],[Valor da Entrega]]</f>
        <v>0</v>
      </c>
      <c r="M14" s="1" t="str">
        <f>IF(Tabela48[[#This Row],[Id da Venda]]=B15,"",SUMIF(Tabela48[Id da Venda],Tabela48[[#This Row],[Id da Venda]],Tabela48[Total]))</f>
        <v/>
      </c>
    </row>
    <row r="15" spans="1:13" x14ac:dyDescent="0.3">
      <c r="C15" s="17"/>
      <c r="E15" t="str">
        <f>IFERROR(VLOOKUP(Tabela48[[#This Row],[Produtos]],cálculos!$I$3:$L$26,4,0),"")</f>
        <v/>
      </c>
      <c r="G15" s="1">
        <f>IFERROR(VLOOKUP(Tabela48[[#This Row],[Produtos]],cálculos!$I$3:$L$26,2,0),0)</f>
        <v>0</v>
      </c>
      <c r="H15" s="1">
        <f>Tabela48[[#This Row],[Preço Unitário]]*Tabela48[[#This Row],[Quantidade]]</f>
        <v>0</v>
      </c>
      <c r="I15" s="9"/>
      <c r="K15" s="1">
        <f>IFERROR(VLOOKUP(Tabela48[[#This Row],[Entrega]],cálculos!$B$3:$C$7,2,0),0)</f>
        <v>0</v>
      </c>
      <c r="L15" s="1">
        <f>Tabela48[[#This Row],[SubTotal]]*(1-Tabela48[[#This Row],[Desconto]])+Tabela48[[#This Row],[Valor da Entrega]]</f>
        <v>0</v>
      </c>
      <c r="M15" s="1" t="str">
        <f>IF(Tabela48[[#This Row],[Id da Venda]]=B16,"",SUMIF(Tabela48[Id da Venda],Tabela48[[#This Row],[Id da Venda]],Tabela48[Total]))</f>
        <v/>
      </c>
    </row>
    <row r="16" spans="1:13" x14ac:dyDescent="0.3">
      <c r="C16" s="17"/>
      <c r="E16" t="str">
        <f>IFERROR(VLOOKUP(Tabela48[[#This Row],[Produtos]],cálculos!$I$3:$L$26,4,0),"")</f>
        <v/>
      </c>
      <c r="G16" s="1">
        <f>IFERROR(VLOOKUP(Tabela48[[#This Row],[Produtos]],cálculos!$I$3:$L$26,2,0),0)</f>
        <v>0</v>
      </c>
      <c r="H16" s="1">
        <f>Tabela48[[#This Row],[Preço Unitário]]*Tabela48[[#This Row],[Quantidade]]</f>
        <v>0</v>
      </c>
      <c r="I16" s="9"/>
      <c r="K16" s="1">
        <f>IFERROR(VLOOKUP(Tabela48[[#This Row],[Entrega]],cálculos!$B$3:$C$7,2,0),0)</f>
        <v>0</v>
      </c>
      <c r="L16" s="1">
        <f>Tabela48[[#This Row],[SubTotal]]*(1-Tabela48[[#This Row],[Desconto]])+Tabela48[[#This Row],[Valor da Entrega]]</f>
        <v>0</v>
      </c>
      <c r="M16" s="1" t="str">
        <f>IF(Tabela48[[#This Row],[Id da Venda]]=B17,"",SUMIF(Tabela48[Id da Venda],Tabela48[[#This Row],[Id da Venda]],Tabela48[Total]))</f>
        <v/>
      </c>
    </row>
    <row r="17" spans="2:13" x14ac:dyDescent="0.3">
      <c r="C17" s="17"/>
      <c r="E17" t="str">
        <f>IFERROR(VLOOKUP(Tabela48[[#This Row],[Produtos]],cálculos!$I$3:$L$26,4,0),"")</f>
        <v/>
      </c>
      <c r="G17" s="1">
        <f>IFERROR(VLOOKUP(Tabela48[[#This Row],[Produtos]],cálculos!$I$3:$L$26,2,0),0)</f>
        <v>0</v>
      </c>
      <c r="H17" s="1">
        <f>Tabela48[[#This Row],[Preço Unitário]]*Tabela48[[#This Row],[Quantidade]]</f>
        <v>0</v>
      </c>
      <c r="I17" s="9"/>
      <c r="K17" s="1">
        <f>IFERROR(VLOOKUP(Tabela48[[#This Row],[Entrega]],cálculos!$B$3:$C$7,2,0),0)</f>
        <v>0</v>
      </c>
      <c r="L17" s="1">
        <f>Tabela48[[#This Row],[SubTotal]]*(1-Tabela48[[#This Row],[Desconto]])+Tabela48[[#This Row],[Valor da Entrega]]</f>
        <v>0</v>
      </c>
      <c r="M17" s="1" t="str">
        <f>IF(Tabela48[[#This Row],[Id da Venda]]=B18,"",SUMIF(Tabela48[Id da Venda],Tabela48[[#This Row],[Id da Venda]],Tabela48[Total]))</f>
        <v/>
      </c>
    </row>
    <row r="18" spans="2:13" x14ac:dyDescent="0.3">
      <c r="C18" s="17"/>
      <c r="E18" t="str">
        <f>IFERROR(VLOOKUP(Tabela48[[#This Row],[Produtos]],cálculos!$I$3:$L$26,4,0),"")</f>
        <v/>
      </c>
      <c r="G18" s="1">
        <f>IFERROR(VLOOKUP(Tabela48[[#This Row],[Produtos]],cálculos!$I$3:$L$26,2,0),0)</f>
        <v>0</v>
      </c>
      <c r="H18" s="1">
        <f>Tabela48[[#This Row],[Preço Unitário]]*Tabela48[[#This Row],[Quantidade]]</f>
        <v>0</v>
      </c>
      <c r="I18" s="9"/>
      <c r="K18" s="1">
        <f>IFERROR(VLOOKUP(Tabela48[[#This Row],[Entrega]],cálculos!$B$3:$C$7,2,0),0)</f>
        <v>0</v>
      </c>
      <c r="L18" s="1">
        <f>Tabela48[[#This Row],[SubTotal]]*(1-Tabela48[[#This Row],[Desconto]])+Tabela48[[#This Row],[Valor da Entrega]]</f>
        <v>0</v>
      </c>
      <c r="M18" s="1" t="str">
        <f>IF(Tabela48[[#This Row],[Id da Venda]]=B19,"",SUMIF(Tabela48[Id da Venda],Tabela48[[#This Row],[Id da Venda]],Tabela48[Total]))</f>
        <v/>
      </c>
    </row>
    <row r="19" spans="2:13" x14ac:dyDescent="0.3">
      <c r="C19" s="17"/>
      <c r="E19" t="str">
        <f>IFERROR(VLOOKUP(Tabela48[[#This Row],[Produtos]],cálculos!$I$3:$L$26,4,0),"")</f>
        <v/>
      </c>
      <c r="G19" s="1">
        <f>IFERROR(VLOOKUP(Tabela48[[#This Row],[Produtos]],cálculos!$I$3:$L$26,2,0),0)</f>
        <v>0</v>
      </c>
      <c r="H19" s="1">
        <f>Tabela48[[#This Row],[Preço Unitário]]*Tabela48[[#This Row],[Quantidade]]</f>
        <v>0</v>
      </c>
      <c r="I19" s="9"/>
      <c r="K19" s="1">
        <f>IFERROR(VLOOKUP(Tabela48[[#This Row],[Entrega]],cálculos!$B$3:$C$7,2,0),0)</f>
        <v>0</v>
      </c>
      <c r="L19" s="1">
        <f>Tabela48[[#This Row],[SubTotal]]*(1-Tabela48[[#This Row],[Desconto]])+Tabela48[[#This Row],[Valor da Entrega]]</f>
        <v>0</v>
      </c>
      <c r="M19" s="1" t="str">
        <f>IF(Tabela48[[#This Row],[Id da Venda]]=B20,"",SUMIF(Tabela48[Id da Venda],Tabela48[[#This Row],[Id da Venda]],Tabela48[Total]))</f>
        <v/>
      </c>
    </row>
    <row r="20" spans="2:13" x14ac:dyDescent="0.3">
      <c r="C20" s="17"/>
      <c r="E20" t="str">
        <f>IFERROR(VLOOKUP(Tabela48[[#This Row],[Produtos]],cálculos!$I$3:$L$26,4,0),"")</f>
        <v/>
      </c>
      <c r="G20" s="1">
        <f>IFERROR(VLOOKUP(Tabela48[[#This Row],[Produtos]],cálculos!$I$3:$L$26,2,0),0)</f>
        <v>0</v>
      </c>
      <c r="H20" s="1">
        <f>Tabela48[[#This Row],[Preço Unitário]]*Tabela48[[#This Row],[Quantidade]]</f>
        <v>0</v>
      </c>
      <c r="I20" s="9"/>
      <c r="K20" s="1">
        <f>IFERROR(VLOOKUP(Tabela48[[#This Row],[Entrega]],cálculos!$B$3:$C$7,2,0),0)</f>
        <v>0</v>
      </c>
      <c r="L20" s="1">
        <f>Tabela48[[#This Row],[SubTotal]]*(1-Tabela48[[#This Row],[Desconto]])+Tabela48[[#This Row],[Valor da Entrega]]</f>
        <v>0</v>
      </c>
      <c r="M20" s="1" t="str">
        <f>IF(Tabela48[[#This Row],[Id da Venda]]=B21,"",SUMIF(Tabela48[Id da Venda],Tabela48[[#This Row],[Id da Venda]],Tabela48[Total]))</f>
        <v/>
      </c>
    </row>
    <row r="21" spans="2:13" x14ac:dyDescent="0.3">
      <c r="C21" s="17"/>
      <c r="E21" t="str">
        <f>IFERROR(VLOOKUP(Tabela48[[#This Row],[Produtos]],cálculos!$I$3:$L$26,4,0),"")</f>
        <v/>
      </c>
      <c r="G21" s="1">
        <f>IFERROR(VLOOKUP(Tabela48[[#This Row],[Produtos]],cálculos!$I$3:$L$26,2,0),0)</f>
        <v>0</v>
      </c>
      <c r="H21" s="1">
        <f>Tabela48[[#This Row],[Preço Unitário]]*Tabela48[[#This Row],[Quantidade]]</f>
        <v>0</v>
      </c>
      <c r="I21" s="9"/>
      <c r="K21" s="1">
        <f>IFERROR(VLOOKUP(Tabela48[[#This Row],[Entrega]],cálculos!$B$3:$C$7,2,0),0)</f>
        <v>0</v>
      </c>
      <c r="L21" s="1">
        <f>Tabela48[[#This Row],[SubTotal]]*(1-Tabela48[[#This Row],[Desconto]])+Tabela48[[#This Row],[Valor da Entrega]]</f>
        <v>0</v>
      </c>
      <c r="M21" s="1" t="str">
        <f>IF(Tabela48[[#This Row],[Id da Venda]]=B22,"",SUMIF(Tabela48[Id da Venda],Tabela48[[#This Row],[Id da Venda]],Tabela48[Total]))</f>
        <v/>
      </c>
    </row>
    <row r="22" spans="2:13" x14ac:dyDescent="0.3">
      <c r="C22" s="17"/>
      <c r="E22" t="str">
        <f>IFERROR(VLOOKUP(Tabela48[[#This Row],[Produtos]],cálculos!$I$3:$L$26,4,0),"")</f>
        <v/>
      </c>
      <c r="G22" s="1">
        <f>IFERROR(VLOOKUP(Tabela48[[#This Row],[Produtos]],cálculos!$I$3:$L$26,2,0),0)</f>
        <v>0</v>
      </c>
      <c r="H22" s="1">
        <f>Tabela48[[#This Row],[Preço Unitário]]*Tabela48[[#This Row],[Quantidade]]</f>
        <v>0</v>
      </c>
      <c r="I22" s="9"/>
      <c r="K22" s="1">
        <f>IFERROR(VLOOKUP(Tabela48[[#This Row],[Entrega]],cálculos!$B$3:$C$7,2,0),0)</f>
        <v>0</v>
      </c>
      <c r="L22" s="1">
        <f>Tabela48[[#This Row],[SubTotal]]*(1-Tabela48[[#This Row],[Desconto]])+Tabela48[[#This Row],[Valor da Entrega]]</f>
        <v>0</v>
      </c>
      <c r="M22" s="1" t="str">
        <f>IF(Tabela48[[#This Row],[Id da Venda]]=B23,"",SUMIF(Tabela48[Id da Venda],Tabela48[[#This Row],[Id da Venda]],Tabela48[Total]))</f>
        <v/>
      </c>
    </row>
    <row r="23" spans="2:13" x14ac:dyDescent="0.3">
      <c r="C23" s="17"/>
      <c r="E23" t="str">
        <f>IFERROR(VLOOKUP(Tabela48[[#This Row],[Produtos]],cálculos!$I$3:$L$26,4,0),"")</f>
        <v/>
      </c>
      <c r="G23" s="1">
        <f>IFERROR(VLOOKUP(Tabela48[[#This Row],[Produtos]],cálculos!$I$3:$L$26,2,0),0)</f>
        <v>0</v>
      </c>
      <c r="H23" s="1">
        <f>Tabela48[[#This Row],[Preço Unitário]]*Tabela48[[#This Row],[Quantidade]]</f>
        <v>0</v>
      </c>
      <c r="I23" s="9"/>
      <c r="K23" s="1">
        <f>IFERROR(VLOOKUP(Tabela48[[#This Row],[Entrega]],cálculos!$B$3:$C$7,2,0),0)</f>
        <v>0</v>
      </c>
      <c r="L23" s="1">
        <f>Tabela48[[#This Row],[SubTotal]]*(1-Tabela48[[#This Row],[Desconto]])+Tabela48[[#This Row],[Valor da Entrega]]</f>
        <v>0</v>
      </c>
      <c r="M23" s="1" t="str">
        <f>IF(Tabela48[[#This Row],[Id da Venda]]=B24,"",SUMIF(Tabela48[Id da Venda],Tabela48[[#This Row],[Id da Venda]],Tabela48[Total]))</f>
        <v/>
      </c>
    </row>
    <row r="24" spans="2:13" x14ac:dyDescent="0.3">
      <c r="C24" s="17"/>
      <c r="E24" t="str">
        <f>IFERROR(VLOOKUP(Tabela48[[#This Row],[Produtos]],cálculos!$I$3:$L$26,4,0),"")</f>
        <v/>
      </c>
      <c r="G24" s="1">
        <f>IFERROR(VLOOKUP(Tabela48[[#This Row],[Produtos]],cálculos!$I$3:$L$26,2,0),0)</f>
        <v>0</v>
      </c>
      <c r="H24" s="1">
        <f>Tabela48[[#This Row],[Preço Unitário]]*Tabela48[[#This Row],[Quantidade]]</f>
        <v>0</v>
      </c>
      <c r="I24" s="9"/>
      <c r="K24" s="1">
        <f>IFERROR(VLOOKUP(Tabela48[[#This Row],[Entrega]],cálculos!$B$3:$C$7,2,0),0)</f>
        <v>0</v>
      </c>
      <c r="L24" s="1">
        <f>Tabela48[[#This Row],[SubTotal]]*(1-Tabela48[[#This Row],[Desconto]])+Tabela48[[#This Row],[Valor da Entrega]]</f>
        <v>0</v>
      </c>
      <c r="M24" s="1" t="str">
        <f>IF(Tabela48[[#This Row],[Id da Venda]]=B25,"",SUMIF(Tabela48[Id da Venda],Tabela48[[#This Row],[Id da Venda]],Tabela48[Total]))</f>
        <v/>
      </c>
    </row>
    <row r="25" spans="2:13" x14ac:dyDescent="0.3">
      <c r="C25" s="17"/>
      <c r="E25" t="str">
        <f>IFERROR(VLOOKUP(Tabela48[[#This Row],[Produtos]],cálculos!$I$3:$L$26,4,0),"")</f>
        <v/>
      </c>
      <c r="G25" s="1">
        <f>IFERROR(VLOOKUP(Tabela48[[#This Row],[Produtos]],cálculos!$I$3:$L$26,2,0),0)</f>
        <v>0</v>
      </c>
      <c r="H25" s="1">
        <f>Tabela48[[#This Row],[Preço Unitário]]*Tabela48[[#This Row],[Quantidade]]</f>
        <v>0</v>
      </c>
      <c r="I25" s="9"/>
      <c r="K25" s="1">
        <f>IFERROR(VLOOKUP(Tabela48[[#This Row],[Entrega]],cálculos!$B$3:$C$7,2,0),0)</f>
        <v>0</v>
      </c>
      <c r="L25" s="1">
        <f>Tabela48[[#This Row],[SubTotal]]*(1-Tabela48[[#This Row],[Desconto]])+Tabela48[[#This Row],[Valor da Entrega]]</f>
        <v>0</v>
      </c>
      <c r="M25" s="1" t="str">
        <f>IF(Tabela48[[#This Row],[Id da Venda]]=B26,"",SUMIF(Tabela48[Id da Venda],Tabela48[[#This Row],[Id da Venda]],Tabela48[Total]))</f>
        <v/>
      </c>
    </row>
    <row r="26" spans="2:13" x14ac:dyDescent="0.3">
      <c r="C26" s="17"/>
      <c r="E26" t="str">
        <f>IFERROR(VLOOKUP(Tabela48[[#This Row],[Produtos]],cálculos!$I$3:$L$26,4,0),"")</f>
        <v/>
      </c>
      <c r="G26" s="1">
        <f>IFERROR(VLOOKUP(Tabela48[[#This Row],[Produtos]],cálculos!$I$3:$L$26,2,0),0)</f>
        <v>0</v>
      </c>
      <c r="H26" s="1">
        <f>Tabela48[[#This Row],[Preço Unitário]]*Tabela48[[#This Row],[Quantidade]]</f>
        <v>0</v>
      </c>
      <c r="I26" s="9"/>
      <c r="K26" s="1">
        <f>IFERROR(VLOOKUP(Tabela48[[#This Row],[Entrega]],cálculos!$B$3:$C$7,2,0),0)</f>
        <v>0</v>
      </c>
      <c r="L26" s="1">
        <f>Tabela48[[#This Row],[SubTotal]]*(1-Tabela48[[#This Row],[Desconto]])+Tabela48[[#This Row],[Valor da Entrega]]</f>
        <v>0</v>
      </c>
      <c r="M26" s="1" t="str">
        <f>IF(Tabela48[[#This Row],[Id da Venda]]=B27,"",SUMIF(Tabela48[Id da Venda],Tabela48[[#This Row],[Id da Venda]],Tabela48[Total]))</f>
        <v/>
      </c>
    </row>
    <row r="27" spans="2:13" x14ac:dyDescent="0.3">
      <c r="C27" s="17"/>
      <c r="E27" t="str">
        <f>IFERROR(VLOOKUP(Tabela48[[#This Row],[Produtos]],cálculos!$I$3:$L$26,4,0),"")</f>
        <v/>
      </c>
      <c r="G27" s="1">
        <f>IFERROR(VLOOKUP(Tabela48[[#This Row],[Produtos]],cálculos!$I$3:$L$26,2,0),0)</f>
        <v>0</v>
      </c>
      <c r="H27" s="1">
        <f>Tabela48[[#This Row],[Preço Unitário]]*Tabela48[[#This Row],[Quantidade]]</f>
        <v>0</v>
      </c>
      <c r="I27" s="9"/>
      <c r="K27" s="1">
        <f>IFERROR(VLOOKUP(Tabela48[[#This Row],[Entrega]],cálculos!$B$3:$C$7,2,0),0)</f>
        <v>0</v>
      </c>
      <c r="L27" s="1">
        <f>Tabela48[[#This Row],[SubTotal]]*(1-Tabela48[[#This Row],[Desconto]])+Tabela48[[#This Row],[Valor da Entrega]]</f>
        <v>0</v>
      </c>
      <c r="M27" s="1" t="str">
        <f>IF(Tabela48[[#This Row],[Id da Venda]]=B28,"",SUMIF(Tabela48[Id da Venda],Tabela48[[#This Row],[Id da Venda]],Tabela48[Total]))</f>
        <v/>
      </c>
    </row>
    <row r="28" spans="2:13" x14ac:dyDescent="0.3">
      <c r="C28" s="17"/>
      <c r="E28" t="str">
        <f>IFERROR(VLOOKUP(Tabela48[[#This Row],[Produtos]],cálculos!$I$3:$L$26,4,0),"")</f>
        <v/>
      </c>
      <c r="G28" s="1">
        <f>IFERROR(VLOOKUP(Tabela48[[#This Row],[Produtos]],cálculos!$I$3:$L$26,2,0),0)</f>
        <v>0</v>
      </c>
      <c r="H28" s="1">
        <f>Tabela48[[#This Row],[Preço Unitário]]*Tabela48[[#This Row],[Quantidade]]</f>
        <v>0</v>
      </c>
      <c r="I28" s="9"/>
      <c r="K28" s="1">
        <f>IFERROR(VLOOKUP(Tabela48[[#This Row],[Entrega]],cálculos!$B$3:$C$7,2,0),0)</f>
        <v>0</v>
      </c>
      <c r="L28" s="1">
        <f>Tabela48[[#This Row],[SubTotal]]*(1-Tabela48[[#This Row],[Desconto]])+Tabela48[[#This Row],[Valor da Entrega]]</f>
        <v>0</v>
      </c>
      <c r="M28" s="1" t="str">
        <f>IF(Tabela48[[#This Row],[Id da Venda]]=B29,"",SUMIF(Tabela48[Id da Venda],Tabela48[[#This Row],[Id da Venda]],Tabela48[Total]))</f>
        <v/>
      </c>
    </row>
    <row r="29" spans="2:13" x14ac:dyDescent="0.3">
      <c r="C29" s="17"/>
      <c r="E29" t="str">
        <f>IFERROR(VLOOKUP(Tabela48[[#This Row],[Produtos]],cálculos!$I$3:$L$26,4,0),"")</f>
        <v/>
      </c>
      <c r="G29" s="1">
        <f>IFERROR(VLOOKUP(Tabela48[[#This Row],[Produtos]],cálculos!$I$3:$L$26,2,0),0)</f>
        <v>0</v>
      </c>
      <c r="H29" s="1">
        <f>Tabela48[[#This Row],[Preço Unitário]]*Tabela48[[#This Row],[Quantidade]]</f>
        <v>0</v>
      </c>
      <c r="I29" s="9"/>
      <c r="K29" s="1">
        <f>IFERROR(VLOOKUP(Tabela48[[#This Row],[Entrega]],cálculos!$B$3:$C$7,2,0),0)</f>
        <v>0</v>
      </c>
      <c r="L29" s="1">
        <f>Tabela48[[#This Row],[SubTotal]]*(1-Tabela48[[#This Row],[Desconto]])+Tabela48[[#This Row],[Valor da Entrega]]</f>
        <v>0</v>
      </c>
      <c r="M29" s="1" t="str">
        <f>IF(Tabela48[[#This Row],[Id da Venda]]=B30,"",SUMIF(Tabela48[Id da Venda],Tabela48[[#This Row],[Id da Venda]],Tabela48[Total]))</f>
        <v/>
      </c>
    </row>
    <row r="31" spans="2:13" ht="21" x14ac:dyDescent="0.4">
      <c r="B31" s="18" t="s">
        <v>110</v>
      </c>
      <c r="C31" s="18"/>
      <c r="D31" s="18"/>
      <c r="E31" s="19"/>
      <c r="F31" s="19"/>
      <c r="G31" s="19"/>
      <c r="H31" s="19"/>
      <c r="I31" s="19"/>
      <c r="J31" s="19"/>
      <c r="K31" s="19"/>
      <c r="L31" s="20">
        <f>SUM(Tabela48[Valor da Entrega])</f>
        <v>0</v>
      </c>
    </row>
    <row r="32" spans="2:13" ht="21" x14ac:dyDescent="0.4">
      <c r="B32" s="21" t="s">
        <v>133</v>
      </c>
      <c r="C32" s="22"/>
      <c r="D32" s="22"/>
      <c r="E32" s="22"/>
      <c r="F32" s="22"/>
      <c r="G32" s="22"/>
      <c r="H32" s="22"/>
      <c r="I32" s="22"/>
      <c r="J32" s="22"/>
      <c r="K32" s="22"/>
      <c r="L32" s="23">
        <f>SUM(Tabela48[Total])</f>
        <v>0</v>
      </c>
    </row>
    <row r="33" spans="2:12" ht="21" x14ac:dyDescent="0.4">
      <c r="B33" s="21" t="s">
        <v>134</v>
      </c>
      <c r="C33" s="22"/>
      <c r="D33" s="22"/>
      <c r="E33" s="22"/>
      <c r="F33" s="22"/>
      <c r="G33" s="22"/>
      <c r="H33" s="22"/>
      <c r="I33" s="22"/>
      <c r="J33" s="22"/>
      <c r="K33" s="22"/>
      <c r="L33" s="47">
        <f>SUM(IF(FREQUENCY(Tabela48[Id da Venda],Tabela48[Id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cálculos!$I$3:$I$26</xm:f>
          </x14:formula1>
          <xm:sqref>D5:D29</xm:sqref>
        </x14:dataValidation>
        <x14:dataValidation type="list" allowBlank="1" showInputMessage="1" showErrorMessage="1" xr:uid="{00000000-0002-0000-0B00-000001000000}">
          <x14:formula1>
            <xm:f>cálculos!$B$3:$B$7</xm:f>
          </x14:formula1>
          <xm:sqref>J5:J29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3"/>
  <dimension ref="A2:M33"/>
  <sheetViews>
    <sheetView showGridLines="0" topLeftCell="A13" workbookViewId="0">
      <selection activeCell="A13" sqref="A13"/>
    </sheetView>
  </sheetViews>
  <sheetFormatPr defaultRowHeight="14.4" x14ac:dyDescent="0.3"/>
  <cols>
    <col min="1" max="1" width="21.5546875" customWidth="1"/>
    <col min="2" max="2" width="13.5546875" customWidth="1"/>
    <col min="3" max="3" width="16.109375" bestFit="1" customWidth="1"/>
    <col min="4" max="4" width="16.6640625" customWidth="1"/>
    <col min="5" max="5" width="13.5546875" customWidth="1"/>
    <col min="6" max="6" width="15.6640625" customWidth="1"/>
    <col min="7" max="7" width="16.109375" bestFit="1" customWidth="1"/>
    <col min="8" max="9" width="13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3" s="16" customFormat="1" ht="27.9" customHeight="1" x14ac:dyDescent="0.3">
      <c r="A2" s="14"/>
      <c r="B2" s="14" t="s">
        <v>114</v>
      </c>
      <c r="C2" s="15"/>
      <c r="D2" s="15"/>
      <c r="G2" s="15"/>
      <c r="H2" s="15"/>
      <c r="I2" s="15"/>
      <c r="J2" s="15"/>
      <c r="K2" s="15"/>
    </row>
    <row r="3" spans="1:13" ht="32.25" customHeight="1" x14ac:dyDescent="0.3"/>
    <row r="4" spans="1:13" x14ac:dyDescent="0.3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3">
      <c r="C5" s="17"/>
      <c r="E5" t="str">
        <f>IFERROR(VLOOKUP(Tabela4811[[#This Row],[Produtos]],cálculos!$I$3:$L$26,4,0),"")</f>
        <v/>
      </c>
      <c r="G5" s="1">
        <f>IFERROR(VLOOKUP(Tabela4811[[#This Row],[Produtos]],cálculos!$I$3:$L$26,2,0),0)</f>
        <v>0</v>
      </c>
      <c r="H5" s="1">
        <f>Tabela4811[[#This Row],[Preço Unitário]]*Tabela4811[[#This Row],[Quantidade]]</f>
        <v>0</v>
      </c>
      <c r="I5" s="9"/>
      <c r="K5" s="1">
        <f>IFERROR(VLOOKUP(Tabela4811[[#This Row],[Entrega]],cálculos!$B$3:$C$7,2,0),0)</f>
        <v>0</v>
      </c>
      <c r="L5" s="1">
        <f>Tabela4811[[#This Row],[SubTotal]]*(1-Tabela4811[[#This Row],[Desconto]])+Tabela4811[[#This Row],[Valor da Entrega]]</f>
        <v>0</v>
      </c>
      <c r="M5" s="1" t="str">
        <f>IF(Tabela4811[[#This Row],[Id da Venda]]=B6,"",SUMIF(Tabela4811[Id da Venda],Tabela4811[[#This Row],[Id da Venda]],Tabela4811[Total]))</f>
        <v/>
      </c>
    </row>
    <row r="6" spans="1:13" x14ac:dyDescent="0.3">
      <c r="C6" s="17"/>
      <c r="E6" t="str">
        <f>IFERROR(VLOOKUP(Tabela4811[[#This Row],[Produtos]],cálculos!$I$3:$L$26,4,0),"")</f>
        <v/>
      </c>
      <c r="G6" s="1">
        <f>IFERROR(VLOOKUP(Tabela4811[[#This Row],[Produtos]],cálculos!$I$3:$L$26,2,0),0)</f>
        <v>0</v>
      </c>
      <c r="H6" s="1">
        <f>Tabela4811[[#This Row],[Preço Unitário]]*Tabela4811[[#This Row],[Quantidade]]</f>
        <v>0</v>
      </c>
      <c r="I6" s="9"/>
      <c r="K6" s="1">
        <f>IFERROR(VLOOKUP(Tabela4811[[#This Row],[Entrega]],cálculos!$B$3:$C$7,2,0),0)</f>
        <v>0</v>
      </c>
      <c r="L6" s="1">
        <f>Tabela4811[[#This Row],[SubTotal]]*(1-Tabela4811[[#This Row],[Desconto]])+Tabela4811[[#This Row],[Valor da Entrega]]</f>
        <v>0</v>
      </c>
      <c r="M6" s="1" t="str">
        <f>IF(Tabela4811[[#This Row],[Id da Venda]]=B7,"",SUMIF(Tabela4811[Id da Venda],Tabela4811[[#This Row],[Id da Venda]],Tabela4811[Total]))</f>
        <v/>
      </c>
    </row>
    <row r="7" spans="1:13" x14ac:dyDescent="0.3">
      <c r="C7" s="17"/>
      <c r="E7" t="str">
        <f>IFERROR(VLOOKUP(Tabela4811[[#This Row],[Produtos]],cálculos!$I$3:$L$26,4,0),"")</f>
        <v/>
      </c>
      <c r="G7" s="1">
        <f>IFERROR(VLOOKUP(Tabela4811[[#This Row],[Produtos]],cálculos!$I$3:$L$26,2,0),0)</f>
        <v>0</v>
      </c>
      <c r="H7" s="1">
        <f>Tabela4811[[#This Row],[Preço Unitário]]*Tabela4811[[#This Row],[Quantidade]]</f>
        <v>0</v>
      </c>
      <c r="I7" s="9"/>
      <c r="K7" s="1">
        <f>IFERROR(VLOOKUP(Tabela4811[[#This Row],[Entrega]],cálculos!$B$3:$C$7,2,0),0)</f>
        <v>0</v>
      </c>
      <c r="L7" s="1">
        <f>Tabela4811[[#This Row],[SubTotal]]*(1-Tabela4811[[#This Row],[Desconto]])+Tabela4811[[#This Row],[Valor da Entrega]]</f>
        <v>0</v>
      </c>
      <c r="M7" s="1" t="str">
        <f>IF(Tabela4811[[#This Row],[Id da Venda]]=B8,"",SUMIF(Tabela4811[Id da Venda],Tabela4811[[#This Row],[Id da Venda]],Tabela4811[Total]))</f>
        <v/>
      </c>
    </row>
    <row r="8" spans="1:13" x14ac:dyDescent="0.3">
      <c r="C8" s="17"/>
      <c r="E8" t="str">
        <f>IFERROR(VLOOKUP(Tabela4811[[#This Row],[Produtos]],cálculos!$I$3:$L$26,4,0),"")</f>
        <v/>
      </c>
      <c r="G8" s="1">
        <f>IFERROR(VLOOKUP(Tabela4811[[#This Row],[Produtos]],cálculos!$I$3:$L$26,2,0),0)</f>
        <v>0</v>
      </c>
      <c r="H8" s="1">
        <f>Tabela4811[[#This Row],[Preço Unitário]]*Tabela4811[[#This Row],[Quantidade]]</f>
        <v>0</v>
      </c>
      <c r="I8" s="9"/>
      <c r="K8" s="1">
        <f>IFERROR(VLOOKUP(Tabela4811[[#This Row],[Entrega]],cálculos!$B$3:$C$7,2,0),0)</f>
        <v>0</v>
      </c>
      <c r="L8" s="1">
        <f>Tabela4811[[#This Row],[SubTotal]]*(1-Tabela4811[[#This Row],[Desconto]])+Tabela4811[[#This Row],[Valor da Entrega]]</f>
        <v>0</v>
      </c>
      <c r="M8" s="1" t="str">
        <f>IF(Tabela4811[[#This Row],[Id da Venda]]=B9,"",SUMIF(Tabela4811[Id da Venda],Tabela4811[[#This Row],[Id da Venda]],Tabela4811[Total]))</f>
        <v/>
      </c>
    </row>
    <row r="9" spans="1:13" x14ac:dyDescent="0.3">
      <c r="C9" s="17"/>
      <c r="E9" t="str">
        <f>IFERROR(VLOOKUP(Tabela4811[[#This Row],[Produtos]],cálculos!$I$3:$L$26,4,0),"")</f>
        <v/>
      </c>
      <c r="G9" s="1">
        <f>IFERROR(VLOOKUP(Tabela4811[[#This Row],[Produtos]],cálculos!$I$3:$L$26,2,0),0)</f>
        <v>0</v>
      </c>
      <c r="H9" s="1">
        <f>Tabela4811[[#This Row],[Preço Unitário]]*Tabela4811[[#This Row],[Quantidade]]</f>
        <v>0</v>
      </c>
      <c r="I9" s="9"/>
      <c r="K9" s="1">
        <f>IFERROR(VLOOKUP(Tabela4811[[#This Row],[Entrega]],cálculos!$B$3:$C$7,2,0),0)</f>
        <v>0</v>
      </c>
      <c r="L9" s="1">
        <f>Tabela4811[[#This Row],[SubTotal]]*(1-Tabela4811[[#This Row],[Desconto]])+Tabela4811[[#This Row],[Valor da Entrega]]</f>
        <v>0</v>
      </c>
      <c r="M9" s="1" t="str">
        <f>IF(Tabela4811[[#This Row],[Id da Venda]]=B10,"",SUMIF(Tabela4811[Id da Venda],Tabela4811[[#This Row],[Id da Venda]],Tabela4811[Total]))</f>
        <v/>
      </c>
    </row>
    <row r="10" spans="1:13" x14ac:dyDescent="0.3">
      <c r="C10" s="17"/>
      <c r="E10" t="str">
        <f>IFERROR(VLOOKUP(Tabela4811[[#This Row],[Produtos]],cálculos!$I$3:$L$26,4,0),"")</f>
        <v/>
      </c>
      <c r="G10" s="1">
        <f>IFERROR(VLOOKUP(Tabela4811[[#This Row],[Produtos]],cálculos!$I$3:$L$26,2,0),0)</f>
        <v>0</v>
      </c>
      <c r="H10" s="1">
        <f>Tabela4811[[#This Row],[Preço Unitário]]*Tabela4811[[#This Row],[Quantidade]]</f>
        <v>0</v>
      </c>
      <c r="I10" s="9"/>
      <c r="K10" s="1">
        <f>IFERROR(VLOOKUP(Tabela4811[[#This Row],[Entrega]],cálculos!$B$3:$C$7,2,0),0)</f>
        <v>0</v>
      </c>
      <c r="L10" s="1">
        <f>Tabela4811[[#This Row],[SubTotal]]*(1-Tabela4811[[#This Row],[Desconto]])+Tabela4811[[#This Row],[Valor da Entrega]]</f>
        <v>0</v>
      </c>
      <c r="M10" s="1" t="str">
        <f>IF(Tabela4811[[#This Row],[Id da Venda]]=B11,"",SUMIF(Tabela4811[Id da Venda],Tabela4811[[#This Row],[Id da Venda]],Tabela4811[Total]))</f>
        <v/>
      </c>
    </row>
    <row r="11" spans="1:13" x14ac:dyDescent="0.3">
      <c r="C11" s="17"/>
      <c r="E11" t="str">
        <f>IFERROR(VLOOKUP(Tabela4811[[#This Row],[Produtos]],cálculos!$I$3:$L$26,4,0),"")</f>
        <v/>
      </c>
      <c r="G11" s="1">
        <f>IFERROR(VLOOKUP(Tabela4811[[#This Row],[Produtos]],cálculos!$I$3:$L$26,2,0),0)</f>
        <v>0</v>
      </c>
      <c r="H11" s="1">
        <f>Tabela4811[[#This Row],[Preço Unitário]]*Tabela4811[[#This Row],[Quantidade]]</f>
        <v>0</v>
      </c>
      <c r="I11" s="9"/>
      <c r="K11" s="1">
        <f>IFERROR(VLOOKUP(Tabela4811[[#This Row],[Entrega]],cálculos!$B$3:$C$7,2,0),0)</f>
        <v>0</v>
      </c>
      <c r="L11" s="1">
        <f>Tabela4811[[#This Row],[SubTotal]]*(1-Tabela4811[[#This Row],[Desconto]])+Tabela4811[[#This Row],[Valor da Entrega]]</f>
        <v>0</v>
      </c>
      <c r="M11" s="1" t="str">
        <f>IF(Tabela4811[[#This Row],[Id da Venda]]=B12,"",SUMIF(Tabela4811[Id da Venda],Tabela4811[[#This Row],[Id da Venda]],Tabela4811[Total]))</f>
        <v/>
      </c>
    </row>
    <row r="12" spans="1:13" x14ac:dyDescent="0.3">
      <c r="C12" s="17"/>
      <c r="E12" t="str">
        <f>IFERROR(VLOOKUP(Tabela4811[[#This Row],[Produtos]],cálculos!$I$3:$L$26,4,0),"")</f>
        <v/>
      </c>
      <c r="G12" s="1">
        <f>IFERROR(VLOOKUP(Tabela4811[[#This Row],[Produtos]],cálculos!$I$3:$L$26,2,0),0)</f>
        <v>0</v>
      </c>
      <c r="H12" s="1">
        <f>Tabela4811[[#This Row],[Preço Unitário]]*Tabela4811[[#This Row],[Quantidade]]</f>
        <v>0</v>
      </c>
      <c r="I12" s="9"/>
      <c r="K12" s="1">
        <f>IFERROR(VLOOKUP(Tabela4811[[#This Row],[Entrega]],cálculos!$B$3:$C$7,2,0),0)</f>
        <v>0</v>
      </c>
      <c r="L12" s="1">
        <f>Tabela4811[[#This Row],[SubTotal]]*(1-Tabela4811[[#This Row],[Desconto]])+Tabela4811[[#This Row],[Valor da Entrega]]</f>
        <v>0</v>
      </c>
      <c r="M12" s="1" t="str">
        <f>IF(Tabela4811[[#This Row],[Id da Venda]]=B13,"",SUMIF(Tabela4811[Id da Venda],Tabela4811[[#This Row],[Id da Venda]],Tabela4811[Total]))</f>
        <v/>
      </c>
    </row>
    <row r="13" spans="1:13" x14ac:dyDescent="0.3">
      <c r="C13" s="17"/>
      <c r="E13" t="str">
        <f>IFERROR(VLOOKUP(Tabela4811[[#This Row],[Produtos]],cálculos!$I$3:$L$26,4,0),"")</f>
        <v/>
      </c>
      <c r="G13" s="1">
        <f>IFERROR(VLOOKUP(Tabela4811[[#This Row],[Produtos]],cálculos!$I$3:$L$26,2,0),0)</f>
        <v>0</v>
      </c>
      <c r="H13" s="1">
        <f>Tabela4811[[#This Row],[Preço Unitário]]*Tabela4811[[#This Row],[Quantidade]]</f>
        <v>0</v>
      </c>
      <c r="I13" s="9"/>
      <c r="K13" s="1">
        <f>IFERROR(VLOOKUP(Tabela4811[[#This Row],[Entrega]],cálculos!$B$3:$C$7,2,0),0)</f>
        <v>0</v>
      </c>
      <c r="L13" s="1">
        <f>Tabela4811[[#This Row],[SubTotal]]*(1-Tabela4811[[#This Row],[Desconto]])+Tabela4811[[#This Row],[Valor da Entrega]]</f>
        <v>0</v>
      </c>
      <c r="M13" s="1" t="str">
        <f>IF(Tabela4811[[#This Row],[Id da Venda]]=B14,"",SUMIF(Tabela4811[Id da Venda],Tabela4811[[#This Row],[Id da Venda]],Tabela4811[Total]))</f>
        <v/>
      </c>
    </row>
    <row r="14" spans="1:13" x14ac:dyDescent="0.3">
      <c r="C14" s="17"/>
      <c r="E14" t="str">
        <f>IFERROR(VLOOKUP(Tabela4811[[#This Row],[Produtos]],cálculos!$I$3:$L$26,4,0),"")</f>
        <v/>
      </c>
      <c r="G14" s="1">
        <f>IFERROR(VLOOKUP(Tabela4811[[#This Row],[Produtos]],cálculos!$I$3:$L$26,2,0),0)</f>
        <v>0</v>
      </c>
      <c r="H14" s="1">
        <f>Tabela4811[[#This Row],[Preço Unitário]]*Tabela4811[[#This Row],[Quantidade]]</f>
        <v>0</v>
      </c>
      <c r="I14" s="9"/>
      <c r="K14" s="1">
        <f>IFERROR(VLOOKUP(Tabela4811[[#This Row],[Entrega]],cálculos!$B$3:$C$7,2,0),0)</f>
        <v>0</v>
      </c>
      <c r="L14" s="1">
        <f>Tabela4811[[#This Row],[SubTotal]]*(1-Tabela4811[[#This Row],[Desconto]])+Tabela4811[[#This Row],[Valor da Entrega]]</f>
        <v>0</v>
      </c>
      <c r="M14" s="1" t="str">
        <f>IF(Tabela4811[[#This Row],[Id da Venda]]=B15,"",SUMIF(Tabela4811[Id da Venda],Tabela4811[[#This Row],[Id da Venda]],Tabela4811[Total]))</f>
        <v/>
      </c>
    </row>
    <row r="15" spans="1:13" x14ac:dyDescent="0.3">
      <c r="C15" s="17"/>
      <c r="E15" t="str">
        <f>IFERROR(VLOOKUP(Tabela4811[[#This Row],[Produtos]],cálculos!$I$3:$L$26,4,0),"")</f>
        <v/>
      </c>
      <c r="G15" s="1">
        <f>IFERROR(VLOOKUP(Tabela4811[[#This Row],[Produtos]],cálculos!$I$3:$L$26,2,0),0)</f>
        <v>0</v>
      </c>
      <c r="H15" s="1">
        <f>Tabela4811[[#This Row],[Preço Unitário]]*Tabela4811[[#This Row],[Quantidade]]</f>
        <v>0</v>
      </c>
      <c r="I15" s="9"/>
      <c r="K15" s="1">
        <f>IFERROR(VLOOKUP(Tabela4811[[#This Row],[Entrega]],cálculos!$B$3:$C$7,2,0),0)</f>
        <v>0</v>
      </c>
      <c r="L15" s="1">
        <f>Tabela4811[[#This Row],[SubTotal]]*(1-Tabela4811[[#This Row],[Desconto]])+Tabela4811[[#This Row],[Valor da Entrega]]</f>
        <v>0</v>
      </c>
      <c r="M15" s="1" t="str">
        <f>IF(Tabela4811[[#This Row],[Id da Venda]]=B16,"",SUMIF(Tabela4811[Id da Venda],Tabela4811[[#This Row],[Id da Venda]],Tabela4811[Total]))</f>
        <v/>
      </c>
    </row>
    <row r="16" spans="1:13" x14ac:dyDescent="0.3">
      <c r="C16" s="17"/>
      <c r="E16" t="str">
        <f>IFERROR(VLOOKUP(Tabela4811[[#This Row],[Produtos]],cálculos!$I$3:$L$26,4,0),"")</f>
        <v/>
      </c>
      <c r="G16" s="1">
        <f>IFERROR(VLOOKUP(Tabela4811[[#This Row],[Produtos]],cálculos!$I$3:$L$26,2,0),0)</f>
        <v>0</v>
      </c>
      <c r="H16" s="1">
        <f>Tabela4811[[#This Row],[Preço Unitário]]*Tabela4811[[#This Row],[Quantidade]]</f>
        <v>0</v>
      </c>
      <c r="I16" s="9"/>
      <c r="K16" s="1">
        <f>IFERROR(VLOOKUP(Tabela4811[[#This Row],[Entrega]],cálculos!$B$3:$C$7,2,0),0)</f>
        <v>0</v>
      </c>
      <c r="L16" s="1">
        <f>Tabela4811[[#This Row],[SubTotal]]*(1-Tabela4811[[#This Row],[Desconto]])+Tabela4811[[#This Row],[Valor da Entrega]]</f>
        <v>0</v>
      </c>
      <c r="M16" s="1" t="str">
        <f>IF(Tabela4811[[#This Row],[Id da Venda]]=B17,"",SUMIF(Tabela4811[Id da Venda],Tabela4811[[#This Row],[Id da Venda]],Tabela4811[Total]))</f>
        <v/>
      </c>
    </row>
    <row r="17" spans="2:13" x14ac:dyDescent="0.3">
      <c r="C17" s="17"/>
      <c r="E17" t="str">
        <f>IFERROR(VLOOKUP(Tabela4811[[#This Row],[Produtos]],cálculos!$I$3:$L$26,4,0),"")</f>
        <v/>
      </c>
      <c r="G17" s="1">
        <f>IFERROR(VLOOKUP(Tabela4811[[#This Row],[Produtos]],cálculos!$I$3:$L$26,2,0),0)</f>
        <v>0</v>
      </c>
      <c r="H17" s="1">
        <f>Tabela4811[[#This Row],[Preço Unitário]]*Tabela4811[[#This Row],[Quantidade]]</f>
        <v>0</v>
      </c>
      <c r="I17" s="9"/>
      <c r="K17" s="1">
        <f>IFERROR(VLOOKUP(Tabela4811[[#This Row],[Entrega]],cálculos!$B$3:$C$7,2,0),0)</f>
        <v>0</v>
      </c>
      <c r="L17" s="1">
        <f>Tabela4811[[#This Row],[SubTotal]]*(1-Tabela4811[[#This Row],[Desconto]])+Tabela4811[[#This Row],[Valor da Entrega]]</f>
        <v>0</v>
      </c>
      <c r="M17" s="1" t="str">
        <f>IF(Tabela4811[[#This Row],[Id da Venda]]=B18,"",SUMIF(Tabela4811[Id da Venda],Tabela4811[[#This Row],[Id da Venda]],Tabela4811[Total]))</f>
        <v/>
      </c>
    </row>
    <row r="18" spans="2:13" x14ac:dyDescent="0.3">
      <c r="C18" s="17"/>
      <c r="E18" t="str">
        <f>IFERROR(VLOOKUP(Tabela4811[[#This Row],[Produtos]],cálculos!$I$3:$L$26,4,0),"")</f>
        <v/>
      </c>
      <c r="G18" s="1">
        <f>IFERROR(VLOOKUP(Tabela4811[[#This Row],[Produtos]],cálculos!$I$3:$L$26,2,0),0)</f>
        <v>0</v>
      </c>
      <c r="H18" s="1">
        <f>Tabela4811[[#This Row],[Preço Unitário]]*Tabela4811[[#This Row],[Quantidade]]</f>
        <v>0</v>
      </c>
      <c r="I18" s="9"/>
      <c r="K18" s="1">
        <f>IFERROR(VLOOKUP(Tabela4811[[#This Row],[Entrega]],cálculos!$B$3:$C$7,2,0),0)</f>
        <v>0</v>
      </c>
      <c r="L18" s="1">
        <f>Tabela4811[[#This Row],[SubTotal]]*(1-Tabela4811[[#This Row],[Desconto]])+Tabela4811[[#This Row],[Valor da Entrega]]</f>
        <v>0</v>
      </c>
      <c r="M18" s="1" t="str">
        <f>IF(Tabela4811[[#This Row],[Id da Venda]]=B19,"",SUMIF(Tabela4811[Id da Venda],Tabela4811[[#This Row],[Id da Venda]],Tabela4811[Total]))</f>
        <v/>
      </c>
    </row>
    <row r="19" spans="2:13" x14ac:dyDescent="0.3">
      <c r="C19" s="17"/>
      <c r="E19" t="str">
        <f>IFERROR(VLOOKUP(Tabela4811[[#This Row],[Produtos]],cálculos!$I$3:$L$26,4,0),"")</f>
        <v/>
      </c>
      <c r="G19" s="1">
        <f>IFERROR(VLOOKUP(Tabela4811[[#This Row],[Produtos]],cálculos!$I$3:$L$26,2,0),0)</f>
        <v>0</v>
      </c>
      <c r="H19" s="1">
        <f>Tabela4811[[#This Row],[Preço Unitário]]*Tabela4811[[#This Row],[Quantidade]]</f>
        <v>0</v>
      </c>
      <c r="I19" s="9"/>
      <c r="K19" s="1">
        <f>IFERROR(VLOOKUP(Tabela4811[[#This Row],[Entrega]],cálculos!$B$3:$C$7,2,0),0)</f>
        <v>0</v>
      </c>
      <c r="L19" s="1">
        <f>Tabela4811[[#This Row],[SubTotal]]*(1-Tabela4811[[#This Row],[Desconto]])+Tabela4811[[#This Row],[Valor da Entrega]]</f>
        <v>0</v>
      </c>
      <c r="M19" s="1" t="str">
        <f>IF(Tabela4811[[#This Row],[Id da Venda]]=B20,"",SUMIF(Tabela4811[Id da Venda],Tabela4811[[#This Row],[Id da Venda]],Tabela4811[Total]))</f>
        <v/>
      </c>
    </row>
    <row r="20" spans="2:13" x14ac:dyDescent="0.3">
      <c r="C20" s="17"/>
      <c r="E20" t="str">
        <f>IFERROR(VLOOKUP(Tabela4811[[#This Row],[Produtos]],cálculos!$I$3:$L$26,4,0),"")</f>
        <v/>
      </c>
      <c r="G20" s="1">
        <f>IFERROR(VLOOKUP(Tabela4811[[#This Row],[Produtos]],cálculos!$I$3:$L$26,2,0),0)</f>
        <v>0</v>
      </c>
      <c r="H20" s="1">
        <f>Tabela4811[[#This Row],[Preço Unitário]]*Tabela4811[[#This Row],[Quantidade]]</f>
        <v>0</v>
      </c>
      <c r="I20" s="9"/>
      <c r="K20" s="1">
        <f>IFERROR(VLOOKUP(Tabela4811[[#This Row],[Entrega]],cálculos!$B$3:$C$7,2,0),0)</f>
        <v>0</v>
      </c>
      <c r="L20" s="1">
        <f>Tabela4811[[#This Row],[SubTotal]]*(1-Tabela4811[[#This Row],[Desconto]])+Tabela4811[[#This Row],[Valor da Entrega]]</f>
        <v>0</v>
      </c>
      <c r="M20" s="1" t="str">
        <f>IF(Tabela4811[[#This Row],[Id da Venda]]=B21,"",SUMIF(Tabela4811[Id da Venda],Tabela4811[[#This Row],[Id da Venda]],Tabela4811[Total]))</f>
        <v/>
      </c>
    </row>
    <row r="21" spans="2:13" x14ac:dyDescent="0.3">
      <c r="C21" s="17"/>
      <c r="E21" t="str">
        <f>IFERROR(VLOOKUP(Tabela4811[[#This Row],[Produtos]],cálculos!$I$3:$L$26,4,0),"")</f>
        <v/>
      </c>
      <c r="G21" s="1">
        <f>IFERROR(VLOOKUP(Tabela4811[[#This Row],[Produtos]],cálculos!$I$3:$L$26,2,0),0)</f>
        <v>0</v>
      </c>
      <c r="H21" s="1">
        <f>Tabela4811[[#This Row],[Preço Unitário]]*Tabela4811[[#This Row],[Quantidade]]</f>
        <v>0</v>
      </c>
      <c r="I21" s="9"/>
      <c r="K21" s="1">
        <f>IFERROR(VLOOKUP(Tabela4811[[#This Row],[Entrega]],cálculos!$B$3:$C$7,2,0),0)</f>
        <v>0</v>
      </c>
      <c r="L21" s="1">
        <f>Tabela4811[[#This Row],[SubTotal]]*(1-Tabela4811[[#This Row],[Desconto]])+Tabela4811[[#This Row],[Valor da Entrega]]</f>
        <v>0</v>
      </c>
      <c r="M21" s="1" t="str">
        <f>IF(Tabela4811[[#This Row],[Id da Venda]]=B22,"",SUMIF(Tabela4811[Id da Venda],Tabela4811[[#This Row],[Id da Venda]],Tabela4811[Total]))</f>
        <v/>
      </c>
    </row>
    <row r="22" spans="2:13" x14ac:dyDescent="0.3">
      <c r="C22" s="17"/>
      <c r="E22" t="str">
        <f>IFERROR(VLOOKUP(Tabela4811[[#This Row],[Produtos]],cálculos!$I$3:$L$26,4,0),"")</f>
        <v/>
      </c>
      <c r="G22" s="1">
        <f>IFERROR(VLOOKUP(Tabela4811[[#This Row],[Produtos]],cálculos!$I$3:$L$26,2,0),0)</f>
        <v>0</v>
      </c>
      <c r="H22" s="1">
        <f>Tabela4811[[#This Row],[Preço Unitário]]*Tabela4811[[#This Row],[Quantidade]]</f>
        <v>0</v>
      </c>
      <c r="I22" s="9"/>
      <c r="K22" s="1">
        <f>IFERROR(VLOOKUP(Tabela4811[[#This Row],[Entrega]],cálculos!$B$3:$C$7,2,0),0)</f>
        <v>0</v>
      </c>
      <c r="L22" s="1">
        <f>Tabela4811[[#This Row],[SubTotal]]*(1-Tabela4811[[#This Row],[Desconto]])+Tabela4811[[#This Row],[Valor da Entrega]]</f>
        <v>0</v>
      </c>
      <c r="M22" s="1" t="str">
        <f>IF(Tabela4811[[#This Row],[Id da Venda]]=B23,"",SUMIF(Tabela4811[Id da Venda],Tabela4811[[#This Row],[Id da Venda]],Tabela4811[Total]))</f>
        <v/>
      </c>
    </row>
    <row r="23" spans="2:13" x14ac:dyDescent="0.3">
      <c r="C23" s="17"/>
      <c r="E23" t="str">
        <f>IFERROR(VLOOKUP(Tabela4811[[#This Row],[Produtos]],cálculos!$I$3:$L$26,4,0),"")</f>
        <v/>
      </c>
      <c r="G23" s="1">
        <f>IFERROR(VLOOKUP(Tabela4811[[#This Row],[Produtos]],cálculos!$I$3:$L$26,2,0),0)</f>
        <v>0</v>
      </c>
      <c r="H23" s="1">
        <f>Tabela4811[[#This Row],[Preço Unitário]]*Tabela4811[[#This Row],[Quantidade]]</f>
        <v>0</v>
      </c>
      <c r="I23" s="9"/>
      <c r="K23" s="1">
        <f>IFERROR(VLOOKUP(Tabela4811[[#This Row],[Entrega]],cálculos!$B$3:$C$7,2,0),0)</f>
        <v>0</v>
      </c>
      <c r="L23" s="1">
        <f>Tabela4811[[#This Row],[SubTotal]]*(1-Tabela4811[[#This Row],[Desconto]])+Tabela4811[[#This Row],[Valor da Entrega]]</f>
        <v>0</v>
      </c>
      <c r="M23" s="1" t="str">
        <f>IF(Tabela4811[[#This Row],[Id da Venda]]=B24,"",SUMIF(Tabela4811[Id da Venda],Tabela4811[[#This Row],[Id da Venda]],Tabela4811[Total]))</f>
        <v/>
      </c>
    </row>
    <row r="24" spans="2:13" x14ac:dyDescent="0.3">
      <c r="C24" s="17"/>
      <c r="E24" t="str">
        <f>IFERROR(VLOOKUP(Tabela4811[[#This Row],[Produtos]],cálculos!$I$3:$L$26,4,0),"")</f>
        <v/>
      </c>
      <c r="G24" s="1">
        <f>IFERROR(VLOOKUP(Tabela4811[[#This Row],[Produtos]],cálculos!$I$3:$L$26,2,0),0)</f>
        <v>0</v>
      </c>
      <c r="H24" s="1">
        <f>Tabela4811[[#This Row],[Preço Unitário]]*Tabela4811[[#This Row],[Quantidade]]</f>
        <v>0</v>
      </c>
      <c r="I24" s="9"/>
      <c r="K24" s="1">
        <f>IFERROR(VLOOKUP(Tabela4811[[#This Row],[Entrega]],cálculos!$B$3:$C$7,2,0),0)</f>
        <v>0</v>
      </c>
      <c r="L24" s="1">
        <f>Tabela4811[[#This Row],[SubTotal]]*(1-Tabela4811[[#This Row],[Desconto]])+Tabela4811[[#This Row],[Valor da Entrega]]</f>
        <v>0</v>
      </c>
      <c r="M24" s="1" t="str">
        <f>IF(Tabela4811[[#This Row],[Id da Venda]]=B25,"",SUMIF(Tabela4811[Id da Venda],Tabela4811[[#This Row],[Id da Venda]],Tabela4811[Total]))</f>
        <v/>
      </c>
    </row>
    <row r="25" spans="2:13" x14ac:dyDescent="0.3">
      <c r="C25" s="17"/>
      <c r="E25" t="str">
        <f>IFERROR(VLOOKUP(Tabela4811[[#This Row],[Produtos]],cálculos!$I$3:$L$26,4,0),"")</f>
        <v/>
      </c>
      <c r="G25" s="1">
        <f>IFERROR(VLOOKUP(Tabela4811[[#This Row],[Produtos]],cálculos!$I$3:$L$26,2,0),0)</f>
        <v>0</v>
      </c>
      <c r="H25" s="1">
        <f>Tabela4811[[#This Row],[Preço Unitário]]*Tabela4811[[#This Row],[Quantidade]]</f>
        <v>0</v>
      </c>
      <c r="I25" s="9"/>
      <c r="K25" s="1">
        <f>IFERROR(VLOOKUP(Tabela4811[[#This Row],[Entrega]],cálculos!$B$3:$C$7,2,0),0)</f>
        <v>0</v>
      </c>
      <c r="L25" s="1">
        <f>Tabela4811[[#This Row],[SubTotal]]*(1-Tabela4811[[#This Row],[Desconto]])+Tabela4811[[#This Row],[Valor da Entrega]]</f>
        <v>0</v>
      </c>
      <c r="M25" s="1" t="str">
        <f>IF(Tabela4811[[#This Row],[Id da Venda]]=B26,"",SUMIF(Tabela4811[Id da Venda],Tabela4811[[#This Row],[Id da Venda]],Tabela4811[Total]))</f>
        <v/>
      </c>
    </row>
    <row r="26" spans="2:13" x14ac:dyDescent="0.3">
      <c r="C26" s="17"/>
      <c r="E26" t="str">
        <f>IFERROR(VLOOKUP(Tabela4811[[#This Row],[Produtos]],cálculos!$I$3:$L$26,4,0),"")</f>
        <v/>
      </c>
      <c r="G26" s="1">
        <f>IFERROR(VLOOKUP(Tabela4811[[#This Row],[Produtos]],cálculos!$I$3:$L$26,2,0),0)</f>
        <v>0</v>
      </c>
      <c r="H26" s="1">
        <f>Tabela4811[[#This Row],[Preço Unitário]]*Tabela4811[[#This Row],[Quantidade]]</f>
        <v>0</v>
      </c>
      <c r="I26" s="9"/>
      <c r="K26" s="1">
        <f>IFERROR(VLOOKUP(Tabela4811[[#This Row],[Entrega]],cálculos!$B$3:$C$7,2,0),0)</f>
        <v>0</v>
      </c>
      <c r="L26" s="1">
        <f>Tabela4811[[#This Row],[SubTotal]]*(1-Tabela4811[[#This Row],[Desconto]])+Tabela4811[[#This Row],[Valor da Entrega]]</f>
        <v>0</v>
      </c>
      <c r="M26" s="1" t="str">
        <f>IF(Tabela4811[[#This Row],[Id da Venda]]=B27,"",SUMIF(Tabela4811[Id da Venda],Tabela4811[[#This Row],[Id da Venda]],Tabela4811[Total]))</f>
        <v/>
      </c>
    </row>
    <row r="27" spans="2:13" x14ac:dyDescent="0.3">
      <c r="C27" s="17"/>
      <c r="E27" t="str">
        <f>IFERROR(VLOOKUP(Tabela4811[[#This Row],[Produtos]],cálculos!$I$3:$L$26,4,0),"")</f>
        <v/>
      </c>
      <c r="G27" s="1">
        <f>IFERROR(VLOOKUP(Tabela4811[[#This Row],[Produtos]],cálculos!$I$3:$L$26,2,0),0)</f>
        <v>0</v>
      </c>
      <c r="H27" s="1">
        <f>Tabela4811[[#This Row],[Preço Unitário]]*Tabela4811[[#This Row],[Quantidade]]</f>
        <v>0</v>
      </c>
      <c r="I27" s="9"/>
      <c r="K27" s="1">
        <f>IFERROR(VLOOKUP(Tabela4811[[#This Row],[Entrega]],cálculos!$B$3:$C$7,2,0),0)</f>
        <v>0</v>
      </c>
      <c r="L27" s="1">
        <f>Tabela4811[[#This Row],[SubTotal]]*(1-Tabela4811[[#This Row],[Desconto]])+Tabela4811[[#This Row],[Valor da Entrega]]</f>
        <v>0</v>
      </c>
      <c r="M27" s="1" t="str">
        <f>IF(Tabela4811[[#This Row],[Id da Venda]]=B28,"",SUMIF(Tabela4811[Id da Venda],Tabela4811[[#This Row],[Id da Venda]],Tabela4811[Total]))</f>
        <v/>
      </c>
    </row>
    <row r="28" spans="2:13" x14ac:dyDescent="0.3">
      <c r="C28" s="17"/>
      <c r="E28" t="str">
        <f>IFERROR(VLOOKUP(Tabela4811[[#This Row],[Produtos]],cálculos!$I$3:$L$26,4,0),"")</f>
        <v/>
      </c>
      <c r="G28" s="1">
        <f>IFERROR(VLOOKUP(Tabela4811[[#This Row],[Produtos]],cálculos!$I$3:$L$26,2,0),0)</f>
        <v>0</v>
      </c>
      <c r="H28" s="1">
        <f>Tabela4811[[#This Row],[Preço Unitário]]*Tabela4811[[#This Row],[Quantidade]]</f>
        <v>0</v>
      </c>
      <c r="I28" s="9"/>
      <c r="K28" s="1">
        <f>IFERROR(VLOOKUP(Tabela4811[[#This Row],[Entrega]],cálculos!$B$3:$C$7,2,0),0)</f>
        <v>0</v>
      </c>
      <c r="L28" s="1">
        <f>Tabela4811[[#This Row],[SubTotal]]*(1-Tabela4811[[#This Row],[Desconto]])+Tabela4811[[#This Row],[Valor da Entrega]]</f>
        <v>0</v>
      </c>
      <c r="M28" s="1" t="str">
        <f>IF(Tabela4811[[#This Row],[Id da Venda]]=B29,"",SUMIF(Tabela4811[Id da Venda],Tabela4811[[#This Row],[Id da Venda]],Tabela4811[Total]))</f>
        <v/>
      </c>
    </row>
    <row r="29" spans="2:13" x14ac:dyDescent="0.3">
      <c r="C29" s="17"/>
      <c r="E29" t="str">
        <f>IFERROR(VLOOKUP(Tabela4811[[#This Row],[Produtos]],cálculos!$I$3:$L$26,4,0),"")</f>
        <v/>
      </c>
      <c r="G29" s="1">
        <f>IFERROR(VLOOKUP(Tabela4811[[#This Row],[Produtos]],cálculos!$I$3:$L$26,2,0),0)</f>
        <v>0</v>
      </c>
      <c r="H29" s="1">
        <f>Tabela4811[[#This Row],[Preço Unitário]]*Tabela4811[[#This Row],[Quantidade]]</f>
        <v>0</v>
      </c>
      <c r="I29" s="9"/>
      <c r="K29" s="1">
        <f>IFERROR(VLOOKUP(Tabela4811[[#This Row],[Entrega]],cálculos!$B$3:$C$7,2,0),0)</f>
        <v>0</v>
      </c>
      <c r="L29" s="1">
        <f>Tabela4811[[#This Row],[SubTotal]]*(1-Tabela4811[[#This Row],[Desconto]])+Tabela4811[[#This Row],[Valor da Entrega]]</f>
        <v>0</v>
      </c>
      <c r="M29" s="1" t="str">
        <f>IF(Tabela4811[[#This Row],[Id da Venda]]=B30,"",SUMIF(Tabela4811[Id da Venda],Tabela4811[[#This Row],[Id da Venda]],Tabela4811[Total]))</f>
        <v/>
      </c>
    </row>
    <row r="31" spans="2:13" ht="21" x14ac:dyDescent="0.4">
      <c r="B31" s="18" t="s">
        <v>110</v>
      </c>
      <c r="C31" s="18"/>
      <c r="D31" s="18"/>
      <c r="E31" s="19"/>
      <c r="F31" s="19"/>
      <c r="G31" s="19"/>
      <c r="H31" s="19"/>
      <c r="I31" s="19"/>
      <c r="J31" s="19"/>
      <c r="K31" s="19"/>
      <c r="L31" s="20">
        <f>SUM(Tabela4811[Valor da Entrega])</f>
        <v>0</v>
      </c>
    </row>
    <row r="32" spans="2:13" ht="21" x14ac:dyDescent="0.4">
      <c r="B32" s="21" t="s">
        <v>133</v>
      </c>
      <c r="C32" s="22"/>
      <c r="D32" s="22"/>
      <c r="E32" s="22"/>
      <c r="F32" s="22"/>
      <c r="G32" s="22"/>
      <c r="H32" s="22"/>
      <c r="I32" s="22"/>
      <c r="J32" s="22"/>
      <c r="K32" s="22"/>
      <c r="L32" s="23">
        <f>SUM(Tabela4811[Total])</f>
        <v>0</v>
      </c>
    </row>
    <row r="33" spans="2:12" ht="21" x14ac:dyDescent="0.4">
      <c r="B33" s="21" t="s">
        <v>134</v>
      </c>
      <c r="C33" s="22"/>
      <c r="D33" s="22"/>
      <c r="E33" s="22"/>
      <c r="F33" s="22"/>
      <c r="G33" s="22"/>
      <c r="H33" s="22"/>
      <c r="I33" s="22"/>
      <c r="J33" s="22"/>
      <c r="K33" s="22"/>
      <c r="L33" s="47">
        <f>SUM(IF(FREQUENCY(Tabela4811[Id da Venda],Tabela4811[Id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0000000}">
          <x14:formula1>
            <xm:f>cálculos!$I$3:$I$26</xm:f>
          </x14:formula1>
          <xm:sqref>D5:D29</xm:sqref>
        </x14:dataValidation>
        <x14:dataValidation type="list" allowBlank="1" showInputMessage="1" showErrorMessage="1" xr:uid="{00000000-0002-0000-0C00-000001000000}">
          <x14:formula1>
            <xm:f>cálculos!$B$3:$B$7</xm:f>
          </x14:formula1>
          <xm:sqref>J5:J29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2:M33"/>
  <sheetViews>
    <sheetView showGridLines="0" workbookViewId="0">
      <selection activeCell="A13" sqref="A13"/>
    </sheetView>
  </sheetViews>
  <sheetFormatPr defaultRowHeight="14.4" x14ac:dyDescent="0.3"/>
  <cols>
    <col min="1" max="1" width="21.5546875" customWidth="1"/>
    <col min="2" max="2" width="13.5546875" customWidth="1"/>
    <col min="3" max="3" width="16.109375" bestFit="1" customWidth="1"/>
    <col min="4" max="4" width="16.6640625" customWidth="1"/>
    <col min="5" max="5" width="13.5546875" customWidth="1"/>
    <col min="6" max="6" width="15.6640625" customWidth="1"/>
    <col min="7" max="7" width="16.109375" bestFit="1" customWidth="1"/>
    <col min="8" max="9" width="13" customWidth="1"/>
    <col min="10" max="11" width="17.88671875" bestFit="1" customWidth="1"/>
    <col min="12" max="12" width="19.88671875" bestFit="1" customWidth="1"/>
    <col min="13" max="13" width="14.5546875" bestFit="1" customWidth="1"/>
  </cols>
  <sheetData>
    <row r="2" spans="1:13" s="16" customFormat="1" ht="27.9" customHeight="1" x14ac:dyDescent="0.3">
      <c r="A2" s="14"/>
      <c r="B2" s="14" t="s">
        <v>115</v>
      </c>
      <c r="C2" s="15"/>
      <c r="D2" s="15"/>
      <c r="G2" s="15"/>
      <c r="H2" s="15"/>
      <c r="I2" s="15"/>
      <c r="J2" s="15"/>
      <c r="K2" s="15"/>
    </row>
    <row r="3" spans="1:13" ht="32.25" customHeight="1" x14ac:dyDescent="0.3"/>
    <row r="4" spans="1:13" x14ac:dyDescent="0.3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3">
      <c r="C5" s="17"/>
      <c r="E5" t="str">
        <f>IFERROR(VLOOKUP(Tabela4812[[#This Row],[Produtos]],cálculos!$I$3:$L$26,4,0),"")</f>
        <v/>
      </c>
      <c r="G5" s="1">
        <f>IFERROR(VLOOKUP(Tabela4812[[#This Row],[Produtos]],cálculos!$I$3:$L$26,2,0),0)</f>
        <v>0</v>
      </c>
      <c r="H5" s="1">
        <f>Tabela4812[[#This Row],[Preço Unitário]]*Tabela4812[[#This Row],[Quantidade]]</f>
        <v>0</v>
      </c>
      <c r="I5" s="9"/>
      <c r="K5" s="1">
        <f>IFERROR(VLOOKUP(Tabela4812[[#This Row],[Entrega]],cálculos!$B$3:$C$7,2,0),0)</f>
        <v>0</v>
      </c>
      <c r="L5" s="1">
        <f>Tabela4812[[#This Row],[SubTotal]]*(1-Tabela4812[[#This Row],[Desconto]])+Tabela4812[[#This Row],[Valor da Entrega]]</f>
        <v>0</v>
      </c>
      <c r="M5" s="1" t="str">
        <f>IF(Tabela4812[[#This Row],[Id da Venda]]=B6,"",SUMIF(Tabela4812[Id da Venda],Tabela4812[[#This Row],[Id da Venda]],Tabela4812[Total]))</f>
        <v/>
      </c>
    </row>
    <row r="6" spans="1:13" x14ac:dyDescent="0.3">
      <c r="C6" s="17"/>
      <c r="E6" t="str">
        <f>IFERROR(VLOOKUP(Tabela4812[[#This Row],[Produtos]],cálculos!$I$3:$L$26,4,0),"")</f>
        <v/>
      </c>
      <c r="G6" s="1">
        <f>IFERROR(VLOOKUP(Tabela4812[[#This Row],[Produtos]],cálculos!$I$3:$L$26,2,0),0)</f>
        <v>0</v>
      </c>
      <c r="H6" s="1">
        <f>Tabela4812[[#This Row],[Preço Unitário]]*Tabela4812[[#This Row],[Quantidade]]</f>
        <v>0</v>
      </c>
      <c r="I6" s="9"/>
      <c r="K6" s="1">
        <f>IFERROR(VLOOKUP(Tabela4812[[#This Row],[Entrega]],cálculos!$B$3:$C$7,2,0),0)</f>
        <v>0</v>
      </c>
      <c r="L6" s="1">
        <f>Tabela4812[[#This Row],[SubTotal]]*(1-Tabela4812[[#This Row],[Desconto]])+Tabela4812[[#This Row],[Valor da Entrega]]</f>
        <v>0</v>
      </c>
      <c r="M6" s="1" t="str">
        <f>IF(Tabela4812[[#This Row],[Id da Venda]]=B7,"",SUMIF(Tabela4812[Id da Venda],Tabela4812[[#This Row],[Id da Venda]],Tabela4812[Total]))</f>
        <v/>
      </c>
    </row>
    <row r="7" spans="1:13" x14ac:dyDescent="0.3">
      <c r="C7" s="17"/>
      <c r="E7" t="str">
        <f>IFERROR(VLOOKUP(Tabela4812[[#This Row],[Produtos]],cálculos!$I$3:$L$26,4,0),"")</f>
        <v/>
      </c>
      <c r="G7" s="1">
        <f>IFERROR(VLOOKUP(Tabela4812[[#This Row],[Produtos]],cálculos!$I$3:$L$26,2,0),0)</f>
        <v>0</v>
      </c>
      <c r="H7" s="1">
        <f>Tabela4812[[#This Row],[Preço Unitário]]*Tabela4812[[#This Row],[Quantidade]]</f>
        <v>0</v>
      </c>
      <c r="I7" s="9"/>
      <c r="K7" s="1">
        <f>IFERROR(VLOOKUP(Tabela4812[[#This Row],[Entrega]],cálculos!$B$3:$C$7,2,0),0)</f>
        <v>0</v>
      </c>
      <c r="L7" s="1">
        <f>Tabela4812[[#This Row],[SubTotal]]*(1-Tabela4812[[#This Row],[Desconto]])+Tabela4812[[#This Row],[Valor da Entrega]]</f>
        <v>0</v>
      </c>
      <c r="M7" s="1" t="str">
        <f>IF(Tabela4812[[#This Row],[Id da Venda]]=B8,"",SUMIF(Tabela4812[Id da Venda],Tabela4812[[#This Row],[Id da Venda]],Tabela4812[Total]))</f>
        <v/>
      </c>
    </row>
    <row r="8" spans="1:13" x14ac:dyDescent="0.3">
      <c r="C8" s="17"/>
      <c r="E8" t="str">
        <f>IFERROR(VLOOKUP(Tabela4812[[#This Row],[Produtos]],cálculos!$I$3:$L$26,4,0),"")</f>
        <v/>
      </c>
      <c r="G8" s="1">
        <f>IFERROR(VLOOKUP(Tabela4812[[#This Row],[Produtos]],cálculos!$I$3:$L$26,2,0),0)</f>
        <v>0</v>
      </c>
      <c r="H8" s="1">
        <f>Tabela4812[[#This Row],[Preço Unitário]]*Tabela4812[[#This Row],[Quantidade]]</f>
        <v>0</v>
      </c>
      <c r="I8" s="9"/>
      <c r="K8" s="1">
        <f>IFERROR(VLOOKUP(Tabela4812[[#This Row],[Entrega]],cálculos!$B$3:$C$7,2,0),0)</f>
        <v>0</v>
      </c>
      <c r="L8" s="1">
        <f>Tabela4812[[#This Row],[SubTotal]]*(1-Tabela4812[[#This Row],[Desconto]])+Tabela4812[[#This Row],[Valor da Entrega]]</f>
        <v>0</v>
      </c>
      <c r="M8" s="1" t="str">
        <f>IF(Tabela4812[[#This Row],[Id da Venda]]=B9,"",SUMIF(Tabela4812[Id da Venda],Tabela4812[[#This Row],[Id da Venda]],Tabela4812[Total]))</f>
        <v/>
      </c>
    </row>
    <row r="9" spans="1:13" x14ac:dyDescent="0.3">
      <c r="C9" s="17"/>
      <c r="E9" t="str">
        <f>IFERROR(VLOOKUP(Tabela4812[[#This Row],[Produtos]],cálculos!$I$3:$L$26,4,0),"")</f>
        <v/>
      </c>
      <c r="G9" s="1">
        <f>IFERROR(VLOOKUP(Tabela4812[[#This Row],[Produtos]],cálculos!$I$3:$L$26,2,0),0)</f>
        <v>0</v>
      </c>
      <c r="H9" s="1">
        <f>Tabela4812[[#This Row],[Preço Unitário]]*Tabela4812[[#This Row],[Quantidade]]</f>
        <v>0</v>
      </c>
      <c r="I9" s="9"/>
      <c r="K9" s="1">
        <f>IFERROR(VLOOKUP(Tabela4812[[#This Row],[Entrega]],cálculos!$B$3:$C$7,2,0),0)</f>
        <v>0</v>
      </c>
      <c r="L9" s="1">
        <f>Tabela4812[[#This Row],[SubTotal]]*(1-Tabela4812[[#This Row],[Desconto]])+Tabela4812[[#This Row],[Valor da Entrega]]</f>
        <v>0</v>
      </c>
      <c r="M9" s="1" t="str">
        <f>IF(Tabela4812[[#This Row],[Id da Venda]]=B10,"",SUMIF(Tabela4812[Id da Venda],Tabela4812[[#This Row],[Id da Venda]],Tabela4812[Total]))</f>
        <v/>
      </c>
    </row>
    <row r="10" spans="1:13" x14ac:dyDescent="0.3">
      <c r="C10" s="17"/>
      <c r="E10" t="str">
        <f>IFERROR(VLOOKUP(Tabela4812[[#This Row],[Produtos]],cálculos!$I$3:$L$26,4,0),"")</f>
        <v/>
      </c>
      <c r="G10" s="1">
        <f>IFERROR(VLOOKUP(Tabela4812[[#This Row],[Produtos]],cálculos!$I$3:$L$26,2,0),0)</f>
        <v>0</v>
      </c>
      <c r="H10" s="1">
        <f>Tabela4812[[#This Row],[Preço Unitário]]*Tabela4812[[#This Row],[Quantidade]]</f>
        <v>0</v>
      </c>
      <c r="I10" s="9"/>
      <c r="K10" s="1">
        <f>IFERROR(VLOOKUP(Tabela4812[[#This Row],[Entrega]],cálculos!$B$3:$C$7,2,0),0)</f>
        <v>0</v>
      </c>
      <c r="L10" s="1">
        <f>Tabela4812[[#This Row],[SubTotal]]*(1-Tabela4812[[#This Row],[Desconto]])+Tabela4812[[#This Row],[Valor da Entrega]]</f>
        <v>0</v>
      </c>
      <c r="M10" s="1" t="str">
        <f>IF(Tabela4812[[#This Row],[Id da Venda]]=B11,"",SUMIF(Tabela4812[Id da Venda],Tabela4812[[#This Row],[Id da Venda]],Tabela4812[Total]))</f>
        <v/>
      </c>
    </row>
    <row r="11" spans="1:13" x14ac:dyDescent="0.3">
      <c r="C11" s="17"/>
      <c r="E11" t="str">
        <f>IFERROR(VLOOKUP(Tabela4812[[#This Row],[Produtos]],cálculos!$I$3:$L$26,4,0),"")</f>
        <v/>
      </c>
      <c r="G11" s="1">
        <f>IFERROR(VLOOKUP(Tabela4812[[#This Row],[Produtos]],cálculos!$I$3:$L$26,2,0),0)</f>
        <v>0</v>
      </c>
      <c r="H11" s="1">
        <f>Tabela4812[[#This Row],[Preço Unitário]]*Tabela4812[[#This Row],[Quantidade]]</f>
        <v>0</v>
      </c>
      <c r="I11" s="9"/>
      <c r="K11" s="1">
        <f>IFERROR(VLOOKUP(Tabela4812[[#This Row],[Entrega]],cálculos!$B$3:$C$7,2,0),0)</f>
        <v>0</v>
      </c>
      <c r="L11" s="1">
        <f>Tabela4812[[#This Row],[SubTotal]]*(1-Tabela4812[[#This Row],[Desconto]])+Tabela4812[[#This Row],[Valor da Entrega]]</f>
        <v>0</v>
      </c>
      <c r="M11" s="1" t="str">
        <f>IF(Tabela4812[[#This Row],[Id da Venda]]=B12,"",SUMIF(Tabela4812[Id da Venda],Tabela4812[[#This Row],[Id da Venda]],Tabela4812[Total]))</f>
        <v/>
      </c>
    </row>
    <row r="12" spans="1:13" x14ac:dyDescent="0.3">
      <c r="C12" s="17"/>
      <c r="E12" t="str">
        <f>IFERROR(VLOOKUP(Tabela4812[[#This Row],[Produtos]],cálculos!$I$3:$L$26,4,0),"")</f>
        <v/>
      </c>
      <c r="G12" s="1">
        <f>IFERROR(VLOOKUP(Tabela4812[[#This Row],[Produtos]],cálculos!$I$3:$L$26,2,0),0)</f>
        <v>0</v>
      </c>
      <c r="H12" s="1">
        <f>Tabela4812[[#This Row],[Preço Unitário]]*Tabela4812[[#This Row],[Quantidade]]</f>
        <v>0</v>
      </c>
      <c r="I12" s="9"/>
      <c r="K12" s="1">
        <f>IFERROR(VLOOKUP(Tabela4812[[#This Row],[Entrega]],cálculos!$B$3:$C$7,2,0),0)</f>
        <v>0</v>
      </c>
      <c r="L12" s="1">
        <f>Tabela4812[[#This Row],[SubTotal]]*(1-Tabela4812[[#This Row],[Desconto]])+Tabela4812[[#This Row],[Valor da Entrega]]</f>
        <v>0</v>
      </c>
      <c r="M12" s="1" t="str">
        <f>IF(Tabela4812[[#This Row],[Id da Venda]]=B13,"",SUMIF(Tabela4812[Id da Venda],Tabela4812[[#This Row],[Id da Venda]],Tabela4812[Total]))</f>
        <v/>
      </c>
    </row>
    <row r="13" spans="1:13" x14ac:dyDescent="0.3">
      <c r="C13" s="17"/>
      <c r="E13" t="str">
        <f>IFERROR(VLOOKUP(Tabela4812[[#This Row],[Produtos]],cálculos!$I$3:$L$26,4,0),"")</f>
        <v/>
      </c>
      <c r="G13" s="1">
        <f>IFERROR(VLOOKUP(Tabela4812[[#This Row],[Produtos]],cálculos!$I$3:$L$26,2,0),0)</f>
        <v>0</v>
      </c>
      <c r="H13" s="1">
        <f>Tabela4812[[#This Row],[Preço Unitário]]*Tabela4812[[#This Row],[Quantidade]]</f>
        <v>0</v>
      </c>
      <c r="I13" s="9"/>
      <c r="K13" s="1">
        <f>IFERROR(VLOOKUP(Tabela4812[[#This Row],[Entrega]],cálculos!$B$3:$C$7,2,0),0)</f>
        <v>0</v>
      </c>
      <c r="L13" s="1">
        <f>Tabela4812[[#This Row],[SubTotal]]*(1-Tabela4812[[#This Row],[Desconto]])+Tabela4812[[#This Row],[Valor da Entrega]]</f>
        <v>0</v>
      </c>
      <c r="M13" s="1" t="str">
        <f>IF(Tabela4812[[#This Row],[Id da Venda]]=B14,"",SUMIF(Tabela4812[Id da Venda],Tabela4812[[#This Row],[Id da Venda]],Tabela4812[Total]))</f>
        <v/>
      </c>
    </row>
    <row r="14" spans="1:13" x14ac:dyDescent="0.3">
      <c r="C14" s="17"/>
      <c r="E14" t="str">
        <f>IFERROR(VLOOKUP(Tabela4812[[#This Row],[Produtos]],cálculos!$I$3:$L$26,4,0),"")</f>
        <v/>
      </c>
      <c r="G14" s="1">
        <f>IFERROR(VLOOKUP(Tabela4812[[#This Row],[Produtos]],cálculos!$I$3:$L$26,2,0),0)</f>
        <v>0</v>
      </c>
      <c r="H14" s="1">
        <f>Tabela4812[[#This Row],[Preço Unitário]]*Tabela4812[[#This Row],[Quantidade]]</f>
        <v>0</v>
      </c>
      <c r="I14" s="9"/>
      <c r="K14" s="1">
        <f>IFERROR(VLOOKUP(Tabela4812[[#This Row],[Entrega]],cálculos!$B$3:$C$7,2,0),0)</f>
        <v>0</v>
      </c>
      <c r="L14" s="1">
        <f>Tabela4812[[#This Row],[SubTotal]]*(1-Tabela4812[[#This Row],[Desconto]])+Tabela4812[[#This Row],[Valor da Entrega]]</f>
        <v>0</v>
      </c>
      <c r="M14" s="1" t="str">
        <f>IF(Tabela4812[[#This Row],[Id da Venda]]=B15,"",SUMIF(Tabela4812[Id da Venda],Tabela4812[[#This Row],[Id da Venda]],Tabela4812[Total]))</f>
        <v/>
      </c>
    </row>
    <row r="15" spans="1:13" x14ac:dyDescent="0.3">
      <c r="C15" s="17"/>
      <c r="E15" t="str">
        <f>IFERROR(VLOOKUP(Tabela4812[[#This Row],[Produtos]],cálculos!$I$3:$L$26,4,0),"")</f>
        <v/>
      </c>
      <c r="G15" s="1">
        <f>IFERROR(VLOOKUP(Tabela4812[[#This Row],[Produtos]],cálculos!$I$3:$L$26,2,0),0)</f>
        <v>0</v>
      </c>
      <c r="H15" s="1">
        <f>Tabela4812[[#This Row],[Preço Unitário]]*Tabela4812[[#This Row],[Quantidade]]</f>
        <v>0</v>
      </c>
      <c r="I15" s="9"/>
      <c r="K15" s="1">
        <f>IFERROR(VLOOKUP(Tabela4812[[#This Row],[Entrega]],cálculos!$B$3:$C$7,2,0),0)</f>
        <v>0</v>
      </c>
      <c r="L15" s="1">
        <f>Tabela4812[[#This Row],[SubTotal]]*(1-Tabela4812[[#This Row],[Desconto]])+Tabela4812[[#This Row],[Valor da Entrega]]</f>
        <v>0</v>
      </c>
      <c r="M15" s="1" t="str">
        <f>IF(Tabela4812[[#This Row],[Id da Venda]]=B16,"",SUMIF(Tabela4812[Id da Venda],Tabela4812[[#This Row],[Id da Venda]],Tabela4812[Total]))</f>
        <v/>
      </c>
    </row>
    <row r="16" spans="1:13" x14ac:dyDescent="0.3">
      <c r="C16" s="17"/>
      <c r="E16" t="str">
        <f>IFERROR(VLOOKUP(Tabela4812[[#This Row],[Produtos]],cálculos!$I$3:$L$26,4,0),"")</f>
        <v/>
      </c>
      <c r="G16" s="1">
        <f>IFERROR(VLOOKUP(Tabela4812[[#This Row],[Produtos]],cálculos!$I$3:$L$26,2,0),0)</f>
        <v>0</v>
      </c>
      <c r="H16" s="1">
        <f>Tabela4812[[#This Row],[Preço Unitário]]*Tabela4812[[#This Row],[Quantidade]]</f>
        <v>0</v>
      </c>
      <c r="I16" s="9"/>
      <c r="K16" s="1">
        <f>IFERROR(VLOOKUP(Tabela4812[[#This Row],[Entrega]],cálculos!$B$3:$C$7,2,0),0)</f>
        <v>0</v>
      </c>
      <c r="L16" s="1">
        <f>Tabela4812[[#This Row],[SubTotal]]*(1-Tabela4812[[#This Row],[Desconto]])+Tabela4812[[#This Row],[Valor da Entrega]]</f>
        <v>0</v>
      </c>
      <c r="M16" s="1" t="str">
        <f>IF(Tabela4812[[#This Row],[Id da Venda]]=B17,"",SUMIF(Tabela4812[Id da Venda],Tabela4812[[#This Row],[Id da Venda]],Tabela4812[Total]))</f>
        <v/>
      </c>
    </row>
    <row r="17" spans="2:13" x14ac:dyDescent="0.3">
      <c r="C17" s="17"/>
      <c r="E17" t="str">
        <f>IFERROR(VLOOKUP(Tabela4812[[#This Row],[Produtos]],cálculos!$I$3:$L$26,4,0),"")</f>
        <v/>
      </c>
      <c r="G17" s="1">
        <f>IFERROR(VLOOKUP(Tabela4812[[#This Row],[Produtos]],cálculos!$I$3:$L$26,2,0),0)</f>
        <v>0</v>
      </c>
      <c r="H17" s="1">
        <f>Tabela4812[[#This Row],[Preço Unitário]]*Tabela4812[[#This Row],[Quantidade]]</f>
        <v>0</v>
      </c>
      <c r="I17" s="9"/>
      <c r="K17" s="1">
        <f>IFERROR(VLOOKUP(Tabela4812[[#This Row],[Entrega]],cálculos!$B$3:$C$7,2,0),0)</f>
        <v>0</v>
      </c>
      <c r="L17" s="1">
        <f>Tabela4812[[#This Row],[SubTotal]]*(1-Tabela4812[[#This Row],[Desconto]])+Tabela4812[[#This Row],[Valor da Entrega]]</f>
        <v>0</v>
      </c>
      <c r="M17" s="1" t="str">
        <f>IF(Tabela4812[[#This Row],[Id da Venda]]=B18,"",SUMIF(Tabela4812[Id da Venda],Tabela4812[[#This Row],[Id da Venda]],Tabela4812[Total]))</f>
        <v/>
      </c>
    </row>
    <row r="18" spans="2:13" x14ac:dyDescent="0.3">
      <c r="C18" s="17"/>
      <c r="E18" t="str">
        <f>IFERROR(VLOOKUP(Tabela4812[[#This Row],[Produtos]],cálculos!$I$3:$L$26,4,0),"")</f>
        <v/>
      </c>
      <c r="G18" s="1">
        <f>IFERROR(VLOOKUP(Tabela4812[[#This Row],[Produtos]],cálculos!$I$3:$L$26,2,0),0)</f>
        <v>0</v>
      </c>
      <c r="H18" s="1">
        <f>Tabela4812[[#This Row],[Preço Unitário]]*Tabela4812[[#This Row],[Quantidade]]</f>
        <v>0</v>
      </c>
      <c r="I18" s="9"/>
      <c r="K18" s="1">
        <f>IFERROR(VLOOKUP(Tabela4812[[#This Row],[Entrega]],cálculos!$B$3:$C$7,2,0),0)</f>
        <v>0</v>
      </c>
      <c r="L18" s="1">
        <f>Tabela4812[[#This Row],[SubTotal]]*(1-Tabela4812[[#This Row],[Desconto]])+Tabela4812[[#This Row],[Valor da Entrega]]</f>
        <v>0</v>
      </c>
      <c r="M18" s="1" t="str">
        <f>IF(Tabela4812[[#This Row],[Id da Venda]]=B19,"",SUMIF(Tabela4812[Id da Venda],Tabela4812[[#This Row],[Id da Venda]],Tabela4812[Total]))</f>
        <v/>
      </c>
    </row>
    <row r="19" spans="2:13" x14ac:dyDescent="0.3">
      <c r="C19" s="17"/>
      <c r="E19" t="str">
        <f>IFERROR(VLOOKUP(Tabela4812[[#This Row],[Produtos]],cálculos!$I$3:$L$26,4,0),"")</f>
        <v/>
      </c>
      <c r="G19" s="1">
        <f>IFERROR(VLOOKUP(Tabela4812[[#This Row],[Produtos]],cálculos!$I$3:$L$26,2,0),0)</f>
        <v>0</v>
      </c>
      <c r="H19" s="1">
        <f>Tabela4812[[#This Row],[Preço Unitário]]*Tabela4812[[#This Row],[Quantidade]]</f>
        <v>0</v>
      </c>
      <c r="I19" s="9"/>
      <c r="K19" s="1">
        <f>IFERROR(VLOOKUP(Tabela4812[[#This Row],[Entrega]],cálculos!$B$3:$C$7,2,0),0)</f>
        <v>0</v>
      </c>
      <c r="L19" s="1">
        <f>Tabela4812[[#This Row],[SubTotal]]*(1-Tabela4812[[#This Row],[Desconto]])+Tabela4812[[#This Row],[Valor da Entrega]]</f>
        <v>0</v>
      </c>
      <c r="M19" s="1" t="str">
        <f>IF(Tabela4812[[#This Row],[Id da Venda]]=B20,"",SUMIF(Tabela4812[Id da Venda],Tabela4812[[#This Row],[Id da Venda]],Tabela4812[Total]))</f>
        <v/>
      </c>
    </row>
    <row r="20" spans="2:13" x14ac:dyDescent="0.3">
      <c r="C20" s="17"/>
      <c r="E20" t="str">
        <f>IFERROR(VLOOKUP(Tabela4812[[#This Row],[Produtos]],cálculos!$I$3:$L$26,4,0),"")</f>
        <v/>
      </c>
      <c r="G20" s="1">
        <f>IFERROR(VLOOKUP(Tabela4812[[#This Row],[Produtos]],cálculos!$I$3:$L$26,2,0),0)</f>
        <v>0</v>
      </c>
      <c r="H20" s="1">
        <f>Tabela4812[[#This Row],[Preço Unitário]]*Tabela4812[[#This Row],[Quantidade]]</f>
        <v>0</v>
      </c>
      <c r="I20" s="9"/>
      <c r="K20" s="1">
        <f>IFERROR(VLOOKUP(Tabela4812[[#This Row],[Entrega]],cálculos!$B$3:$C$7,2,0),0)</f>
        <v>0</v>
      </c>
      <c r="L20" s="1">
        <f>Tabela4812[[#This Row],[SubTotal]]*(1-Tabela4812[[#This Row],[Desconto]])+Tabela4812[[#This Row],[Valor da Entrega]]</f>
        <v>0</v>
      </c>
      <c r="M20" s="1" t="str">
        <f>IF(Tabela4812[[#This Row],[Id da Venda]]=B21,"",SUMIF(Tabela4812[Id da Venda],Tabela4812[[#This Row],[Id da Venda]],Tabela4812[Total]))</f>
        <v/>
      </c>
    </row>
    <row r="21" spans="2:13" x14ac:dyDescent="0.3">
      <c r="C21" s="17"/>
      <c r="E21" t="str">
        <f>IFERROR(VLOOKUP(Tabela4812[[#This Row],[Produtos]],cálculos!$I$3:$L$26,4,0),"")</f>
        <v/>
      </c>
      <c r="G21" s="1">
        <f>IFERROR(VLOOKUP(Tabela4812[[#This Row],[Produtos]],cálculos!$I$3:$L$26,2,0),0)</f>
        <v>0</v>
      </c>
      <c r="H21" s="1">
        <f>Tabela4812[[#This Row],[Preço Unitário]]*Tabela4812[[#This Row],[Quantidade]]</f>
        <v>0</v>
      </c>
      <c r="I21" s="9"/>
      <c r="K21" s="1">
        <f>IFERROR(VLOOKUP(Tabela4812[[#This Row],[Entrega]],cálculos!$B$3:$C$7,2,0),0)</f>
        <v>0</v>
      </c>
      <c r="L21" s="1">
        <f>Tabela4812[[#This Row],[SubTotal]]*(1-Tabela4812[[#This Row],[Desconto]])+Tabela4812[[#This Row],[Valor da Entrega]]</f>
        <v>0</v>
      </c>
      <c r="M21" s="1" t="str">
        <f>IF(Tabela4812[[#This Row],[Id da Venda]]=B22,"",SUMIF(Tabela4812[Id da Venda],Tabela4812[[#This Row],[Id da Venda]],Tabela4812[Total]))</f>
        <v/>
      </c>
    </row>
    <row r="22" spans="2:13" x14ac:dyDescent="0.3">
      <c r="C22" s="17"/>
      <c r="E22" t="str">
        <f>IFERROR(VLOOKUP(Tabela4812[[#This Row],[Produtos]],cálculos!$I$3:$L$26,4,0),"")</f>
        <v/>
      </c>
      <c r="G22" s="1">
        <f>IFERROR(VLOOKUP(Tabela4812[[#This Row],[Produtos]],cálculos!$I$3:$L$26,2,0),0)</f>
        <v>0</v>
      </c>
      <c r="H22" s="1">
        <f>Tabela4812[[#This Row],[Preço Unitário]]*Tabela4812[[#This Row],[Quantidade]]</f>
        <v>0</v>
      </c>
      <c r="I22" s="9"/>
      <c r="K22" s="1">
        <f>IFERROR(VLOOKUP(Tabela4812[[#This Row],[Entrega]],cálculos!$B$3:$C$7,2,0),0)</f>
        <v>0</v>
      </c>
      <c r="L22" s="1">
        <f>Tabela4812[[#This Row],[SubTotal]]*(1-Tabela4812[[#This Row],[Desconto]])+Tabela4812[[#This Row],[Valor da Entrega]]</f>
        <v>0</v>
      </c>
      <c r="M22" s="1" t="str">
        <f>IF(Tabela4812[[#This Row],[Id da Venda]]=B23,"",SUMIF(Tabela4812[Id da Venda],Tabela4812[[#This Row],[Id da Venda]],Tabela4812[Total]))</f>
        <v/>
      </c>
    </row>
    <row r="23" spans="2:13" x14ac:dyDescent="0.3">
      <c r="C23" s="17"/>
      <c r="E23" t="str">
        <f>IFERROR(VLOOKUP(Tabela4812[[#This Row],[Produtos]],cálculos!$I$3:$L$26,4,0),"")</f>
        <v/>
      </c>
      <c r="G23" s="1">
        <f>IFERROR(VLOOKUP(Tabela4812[[#This Row],[Produtos]],cálculos!$I$3:$L$26,2,0),0)</f>
        <v>0</v>
      </c>
      <c r="H23" s="1">
        <f>Tabela4812[[#This Row],[Preço Unitário]]*Tabela4812[[#This Row],[Quantidade]]</f>
        <v>0</v>
      </c>
      <c r="I23" s="9"/>
      <c r="K23" s="1">
        <f>IFERROR(VLOOKUP(Tabela4812[[#This Row],[Entrega]],cálculos!$B$3:$C$7,2,0),0)</f>
        <v>0</v>
      </c>
      <c r="L23" s="1">
        <f>Tabela4812[[#This Row],[SubTotal]]*(1-Tabela4812[[#This Row],[Desconto]])+Tabela4812[[#This Row],[Valor da Entrega]]</f>
        <v>0</v>
      </c>
      <c r="M23" s="1" t="str">
        <f>IF(Tabela4812[[#This Row],[Id da Venda]]=B24,"",SUMIF(Tabela4812[Id da Venda],Tabela4812[[#This Row],[Id da Venda]],Tabela4812[Total]))</f>
        <v/>
      </c>
    </row>
    <row r="24" spans="2:13" x14ac:dyDescent="0.3">
      <c r="C24" s="17"/>
      <c r="E24" t="str">
        <f>IFERROR(VLOOKUP(Tabela4812[[#This Row],[Produtos]],cálculos!$I$3:$L$26,4,0),"")</f>
        <v/>
      </c>
      <c r="G24" s="1">
        <f>IFERROR(VLOOKUP(Tabela4812[[#This Row],[Produtos]],cálculos!$I$3:$L$26,2,0),0)</f>
        <v>0</v>
      </c>
      <c r="H24" s="1">
        <f>Tabela4812[[#This Row],[Preço Unitário]]*Tabela4812[[#This Row],[Quantidade]]</f>
        <v>0</v>
      </c>
      <c r="I24" s="9"/>
      <c r="K24" s="1">
        <f>IFERROR(VLOOKUP(Tabela4812[[#This Row],[Entrega]],cálculos!$B$3:$C$7,2,0),0)</f>
        <v>0</v>
      </c>
      <c r="L24" s="1">
        <f>Tabela4812[[#This Row],[SubTotal]]*(1-Tabela4812[[#This Row],[Desconto]])+Tabela4812[[#This Row],[Valor da Entrega]]</f>
        <v>0</v>
      </c>
      <c r="M24" s="1" t="str">
        <f>IF(Tabela4812[[#This Row],[Id da Venda]]=B25,"",SUMIF(Tabela4812[Id da Venda],Tabela4812[[#This Row],[Id da Venda]],Tabela4812[Total]))</f>
        <v/>
      </c>
    </row>
    <row r="25" spans="2:13" x14ac:dyDescent="0.3">
      <c r="C25" s="17"/>
      <c r="E25" t="str">
        <f>IFERROR(VLOOKUP(Tabela4812[[#This Row],[Produtos]],cálculos!$I$3:$L$26,4,0),"")</f>
        <v/>
      </c>
      <c r="G25" s="1">
        <f>IFERROR(VLOOKUP(Tabela4812[[#This Row],[Produtos]],cálculos!$I$3:$L$26,2,0),0)</f>
        <v>0</v>
      </c>
      <c r="H25" s="1">
        <f>Tabela4812[[#This Row],[Preço Unitário]]*Tabela4812[[#This Row],[Quantidade]]</f>
        <v>0</v>
      </c>
      <c r="I25" s="9"/>
      <c r="K25" s="1">
        <f>IFERROR(VLOOKUP(Tabela4812[[#This Row],[Entrega]],cálculos!$B$3:$C$7,2,0),0)</f>
        <v>0</v>
      </c>
      <c r="L25" s="1">
        <f>Tabela4812[[#This Row],[SubTotal]]*(1-Tabela4812[[#This Row],[Desconto]])+Tabela4812[[#This Row],[Valor da Entrega]]</f>
        <v>0</v>
      </c>
      <c r="M25" s="1" t="str">
        <f>IF(Tabela4812[[#This Row],[Id da Venda]]=B26,"",SUMIF(Tabela4812[Id da Venda],Tabela4812[[#This Row],[Id da Venda]],Tabela4812[Total]))</f>
        <v/>
      </c>
    </row>
    <row r="26" spans="2:13" x14ac:dyDescent="0.3">
      <c r="C26" s="17"/>
      <c r="E26" t="str">
        <f>IFERROR(VLOOKUP(Tabela4812[[#This Row],[Produtos]],cálculos!$I$3:$L$26,4,0),"")</f>
        <v/>
      </c>
      <c r="G26" s="1">
        <f>IFERROR(VLOOKUP(Tabela4812[[#This Row],[Produtos]],cálculos!$I$3:$L$26,2,0),0)</f>
        <v>0</v>
      </c>
      <c r="H26" s="1">
        <f>Tabela4812[[#This Row],[Preço Unitário]]*Tabela4812[[#This Row],[Quantidade]]</f>
        <v>0</v>
      </c>
      <c r="I26" s="9"/>
      <c r="K26" s="1">
        <f>IFERROR(VLOOKUP(Tabela4812[[#This Row],[Entrega]],cálculos!$B$3:$C$7,2,0),0)</f>
        <v>0</v>
      </c>
      <c r="L26" s="1">
        <f>Tabela4812[[#This Row],[SubTotal]]*(1-Tabela4812[[#This Row],[Desconto]])+Tabela4812[[#This Row],[Valor da Entrega]]</f>
        <v>0</v>
      </c>
      <c r="M26" s="1" t="str">
        <f>IF(Tabela4812[[#This Row],[Id da Venda]]=B27,"",SUMIF(Tabela4812[Id da Venda],Tabela4812[[#This Row],[Id da Venda]],Tabela4812[Total]))</f>
        <v/>
      </c>
    </row>
    <row r="27" spans="2:13" x14ac:dyDescent="0.3">
      <c r="C27" s="17"/>
      <c r="E27" t="str">
        <f>IFERROR(VLOOKUP(Tabela4812[[#This Row],[Produtos]],cálculos!$I$3:$L$26,4,0),"")</f>
        <v/>
      </c>
      <c r="G27" s="1">
        <f>IFERROR(VLOOKUP(Tabela4812[[#This Row],[Produtos]],cálculos!$I$3:$L$26,2,0),0)</f>
        <v>0</v>
      </c>
      <c r="H27" s="1">
        <f>Tabela4812[[#This Row],[Preço Unitário]]*Tabela4812[[#This Row],[Quantidade]]</f>
        <v>0</v>
      </c>
      <c r="I27" s="9"/>
      <c r="K27" s="1">
        <f>IFERROR(VLOOKUP(Tabela4812[[#This Row],[Entrega]],cálculos!$B$3:$C$7,2,0),0)</f>
        <v>0</v>
      </c>
      <c r="L27" s="1">
        <f>Tabela4812[[#This Row],[SubTotal]]*(1-Tabela4812[[#This Row],[Desconto]])+Tabela4812[[#This Row],[Valor da Entrega]]</f>
        <v>0</v>
      </c>
      <c r="M27" s="1" t="str">
        <f>IF(Tabela4812[[#This Row],[Id da Venda]]=B28,"",SUMIF(Tabela4812[Id da Venda],Tabela4812[[#This Row],[Id da Venda]],Tabela4812[Total]))</f>
        <v/>
      </c>
    </row>
    <row r="28" spans="2:13" x14ac:dyDescent="0.3">
      <c r="C28" s="17"/>
      <c r="E28" t="str">
        <f>IFERROR(VLOOKUP(Tabela4812[[#This Row],[Produtos]],cálculos!$I$3:$L$26,4,0),"")</f>
        <v/>
      </c>
      <c r="G28" s="1">
        <f>IFERROR(VLOOKUP(Tabela4812[[#This Row],[Produtos]],cálculos!$I$3:$L$26,2,0),0)</f>
        <v>0</v>
      </c>
      <c r="H28" s="1">
        <f>Tabela4812[[#This Row],[Preço Unitário]]*Tabela4812[[#This Row],[Quantidade]]</f>
        <v>0</v>
      </c>
      <c r="I28" s="9"/>
      <c r="K28" s="1">
        <f>IFERROR(VLOOKUP(Tabela4812[[#This Row],[Entrega]],cálculos!$B$3:$C$7,2,0),0)</f>
        <v>0</v>
      </c>
      <c r="L28" s="1">
        <f>Tabela4812[[#This Row],[SubTotal]]*(1-Tabela4812[[#This Row],[Desconto]])+Tabela4812[[#This Row],[Valor da Entrega]]</f>
        <v>0</v>
      </c>
      <c r="M28" s="1" t="str">
        <f>IF(Tabela4812[[#This Row],[Id da Venda]]=B29,"",SUMIF(Tabela4812[Id da Venda],Tabela4812[[#This Row],[Id da Venda]],Tabela4812[Total]))</f>
        <v/>
      </c>
    </row>
    <row r="29" spans="2:13" x14ac:dyDescent="0.3">
      <c r="C29" s="17"/>
      <c r="E29" t="str">
        <f>IFERROR(VLOOKUP(Tabela4812[[#This Row],[Produtos]],cálculos!$I$3:$L$26,4,0),"")</f>
        <v/>
      </c>
      <c r="G29" s="1">
        <f>IFERROR(VLOOKUP(Tabela4812[[#This Row],[Produtos]],cálculos!$I$3:$L$26,2,0),0)</f>
        <v>0</v>
      </c>
      <c r="H29" s="1">
        <f>Tabela4812[[#This Row],[Preço Unitário]]*Tabela4812[[#This Row],[Quantidade]]</f>
        <v>0</v>
      </c>
      <c r="I29" s="9"/>
      <c r="K29" s="1">
        <f>IFERROR(VLOOKUP(Tabela4812[[#This Row],[Entrega]],cálculos!$B$3:$C$7,2,0),0)</f>
        <v>0</v>
      </c>
      <c r="L29" s="1">
        <f>Tabela4812[[#This Row],[SubTotal]]*(1-Tabela4812[[#This Row],[Desconto]])+Tabela4812[[#This Row],[Valor da Entrega]]</f>
        <v>0</v>
      </c>
      <c r="M29" s="1" t="str">
        <f>IF(Tabela4812[[#This Row],[Id da Venda]]=B30,"",SUMIF(Tabela4812[Id da Venda],Tabela4812[[#This Row],[Id da Venda]],Tabela4812[Total]))</f>
        <v/>
      </c>
    </row>
    <row r="31" spans="2:13" ht="21" x14ac:dyDescent="0.4">
      <c r="B31" s="18" t="s">
        <v>110</v>
      </c>
      <c r="C31" s="18"/>
      <c r="D31" s="18"/>
      <c r="E31" s="19"/>
      <c r="F31" s="19"/>
      <c r="G31" s="19"/>
      <c r="H31" s="19"/>
      <c r="I31" s="19"/>
      <c r="J31" s="19"/>
      <c r="K31" s="19"/>
      <c r="L31" s="20">
        <f>SUM(Tabela4812[Valor da Entrega])</f>
        <v>0</v>
      </c>
    </row>
    <row r="32" spans="2:13" ht="21" x14ac:dyDescent="0.4">
      <c r="B32" s="21" t="s">
        <v>133</v>
      </c>
      <c r="C32" s="22"/>
      <c r="D32" s="22"/>
      <c r="E32" s="22"/>
      <c r="F32" s="22"/>
      <c r="G32" s="22"/>
      <c r="H32" s="22"/>
      <c r="I32" s="22"/>
      <c r="J32" s="22"/>
      <c r="K32" s="22"/>
      <c r="L32" s="23">
        <f>SUM(Tabela4812[Total])</f>
        <v>0</v>
      </c>
    </row>
    <row r="33" spans="2:12" ht="21" x14ac:dyDescent="0.4">
      <c r="B33" s="21" t="s">
        <v>134</v>
      </c>
      <c r="C33" s="22"/>
      <c r="D33" s="22"/>
      <c r="E33" s="22"/>
      <c r="F33" s="22"/>
      <c r="G33" s="22"/>
      <c r="H33" s="22"/>
      <c r="I33" s="22"/>
      <c r="J33" s="22"/>
      <c r="K33" s="22"/>
      <c r="L33" s="47">
        <f>SUM(IF(FREQUENCY(Tabela4812[Id da Venda],Tabela4812[Id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0000000}">
          <x14:formula1>
            <xm:f>cálculos!$I$3:$I$26</xm:f>
          </x14:formula1>
          <xm:sqref>D5:D29</xm:sqref>
        </x14:dataValidation>
        <x14:dataValidation type="list" allowBlank="1" showInputMessage="1" showErrorMessage="1" xr:uid="{00000000-0002-0000-0D00-000001000000}">
          <x14:formula1>
            <xm:f>cálculos!$B$3:$B$7</xm:f>
          </x14:formula1>
          <xm:sqref>J5:J29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B2:L26"/>
  <sheetViews>
    <sheetView tabSelected="1" topLeftCell="A10" workbookViewId="0">
      <selection activeCell="C16" sqref="C16"/>
    </sheetView>
  </sheetViews>
  <sheetFormatPr defaultRowHeight="14.4" x14ac:dyDescent="0.3"/>
  <cols>
    <col min="2" max="2" width="18.109375" bestFit="1" customWidth="1"/>
    <col min="3" max="3" width="11.88671875" bestFit="1" customWidth="1"/>
    <col min="4" max="5" width="9.88671875" bestFit="1" customWidth="1"/>
    <col min="6" max="6" width="22.44140625" bestFit="1" customWidth="1"/>
    <col min="7" max="8" width="9.88671875" bestFit="1" customWidth="1"/>
    <col min="9" max="9" width="15.6640625" bestFit="1" customWidth="1"/>
    <col min="10" max="10" width="24.109375" bestFit="1" customWidth="1"/>
    <col min="11" max="11" width="23" bestFit="1" customWidth="1"/>
    <col min="12" max="12" width="12.6640625" bestFit="1" customWidth="1"/>
    <col min="13" max="13" width="12.44140625" bestFit="1" customWidth="1"/>
  </cols>
  <sheetData>
    <row r="2" spans="2:12" x14ac:dyDescent="0.3">
      <c r="B2" s="13" t="s">
        <v>100</v>
      </c>
      <c r="C2" s="13" t="s">
        <v>105</v>
      </c>
      <c r="I2" s="13" t="s">
        <v>61</v>
      </c>
      <c r="J2" s="13" t="s">
        <v>78</v>
      </c>
      <c r="K2" s="13" t="s">
        <v>79</v>
      </c>
      <c r="L2" s="13" t="s">
        <v>92</v>
      </c>
    </row>
    <row r="3" spans="2:12" x14ac:dyDescent="0.3">
      <c r="B3" t="s">
        <v>102</v>
      </c>
      <c r="C3" s="1">
        <v>5</v>
      </c>
      <c r="I3" t="s">
        <v>24</v>
      </c>
      <c r="J3" s="1">
        <v>2.8405</v>
      </c>
      <c r="K3" s="1">
        <v>2.99</v>
      </c>
      <c r="L3" t="s">
        <v>80</v>
      </c>
    </row>
    <row r="4" spans="2:12" x14ac:dyDescent="0.3">
      <c r="B4" t="s">
        <v>106</v>
      </c>
      <c r="C4" s="1">
        <v>0</v>
      </c>
      <c r="I4" t="s">
        <v>33</v>
      </c>
      <c r="J4" s="1">
        <v>1.0580000000000001</v>
      </c>
      <c r="K4" s="1">
        <v>1.1499999999999999</v>
      </c>
      <c r="L4" t="s">
        <v>82</v>
      </c>
    </row>
    <row r="5" spans="2:12" x14ac:dyDescent="0.3">
      <c r="B5" t="s">
        <v>101</v>
      </c>
      <c r="C5" s="1">
        <v>6.5</v>
      </c>
      <c r="D5" s="10"/>
      <c r="I5" t="s">
        <v>21</v>
      </c>
      <c r="J5" s="1">
        <v>2.3406000000000002</v>
      </c>
      <c r="K5" s="1">
        <v>2.4900000000000002</v>
      </c>
      <c r="L5" t="s">
        <v>81</v>
      </c>
    </row>
    <row r="6" spans="2:12" x14ac:dyDescent="0.3">
      <c r="B6" t="s">
        <v>103</v>
      </c>
      <c r="C6" s="1">
        <v>8</v>
      </c>
      <c r="D6" s="10"/>
      <c r="I6" t="s">
        <v>39</v>
      </c>
      <c r="J6" s="1">
        <v>1.8506999999999998</v>
      </c>
      <c r="K6" s="1">
        <v>1.99</v>
      </c>
      <c r="L6" t="s">
        <v>82</v>
      </c>
    </row>
    <row r="7" spans="2:12" x14ac:dyDescent="0.3">
      <c r="B7" t="s">
        <v>104</v>
      </c>
      <c r="C7" s="1">
        <v>6.5</v>
      </c>
      <c r="D7" s="10"/>
      <c r="I7" t="s">
        <v>42</v>
      </c>
      <c r="J7" s="1">
        <v>1.0924999999999998</v>
      </c>
      <c r="K7" s="1">
        <v>1.1499999999999999</v>
      </c>
      <c r="L7" t="s">
        <v>82</v>
      </c>
    </row>
    <row r="8" spans="2:12" x14ac:dyDescent="0.3">
      <c r="D8" s="10"/>
      <c r="I8" t="s">
        <v>91</v>
      </c>
      <c r="J8" s="1">
        <v>1.3708</v>
      </c>
      <c r="K8" s="1">
        <v>1.49</v>
      </c>
      <c r="L8" t="s">
        <v>85</v>
      </c>
    </row>
    <row r="9" spans="2:12" x14ac:dyDescent="0.3">
      <c r="D9" s="10"/>
      <c r="I9" t="s">
        <v>38</v>
      </c>
      <c r="J9" s="1">
        <v>0.74260000000000004</v>
      </c>
      <c r="K9" s="1">
        <v>0.79</v>
      </c>
      <c r="L9" t="s">
        <v>82</v>
      </c>
    </row>
    <row r="10" spans="2:12" x14ac:dyDescent="0.3">
      <c r="D10" s="10"/>
      <c r="I10" t="s">
        <v>25</v>
      </c>
      <c r="J10" s="1">
        <v>14.469000000000001</v>
      </c>
      <c r="K10" s="1">
        <v>15.9</v>
      </c>
      <c r="L10" t="s">
        <v>81</v>
      </c>
    </row>
    <row r="11" spans="2:12" x14ac:dyDescent="0.3">
      <c r="D11" s="10"/>
      <c r="I11" t="s">
        <v>31</v>
      </c>
      <c r="J11" s="1">
        <v>3.6309000000000005</v>
      </c>
      <c r="K11" s="1">
        <v>3.99</v>
      </c>
      <c r="L11" t="s">
        <v>81</v>
      </c>
    </row>
    <row r="12" spans="2:12" x14ac:dyDescent="0.3">
      <c r="D12" s="10"/>
      <c r="I12" t="s">
        <v>34</v>
      </c>
      <c r="J12" s="1">
        <v>2.1023999999999998</v>
      </c>
      <c r="K12" s="1">
        <v>2.19</v>
      </c>
      <c r="L12" t="s">
        <v>83</v>
      </c>
    </row>
    <row r="13" spans="2:12" x14ac:dyDescent="0.3">
      <c r="D13" s="10"/>
      <c r="I13" t="s">
        <v>40</v>
      </c>
      <c r="J13" s="1">
        <v>4.5409000000000006</v>
      </c>
      <c r="K13" s="1">
        <v>4.99</v>
      </c>
      <c r="L13" t="s">
        <v>84</v>
      </c>
    </row>
    <row r="14" spans="2:12" x14ac:dyDescent="0.3">
      <c r="I14" t="s">
        <v>41</v>
      </c>
      <c r="J14" s="1">
        <v>6.3449999999999998</v>
      </c>
      <c r="K14" s="1">
        <v>6.75</v>
      </c>
      <c r="L14" t="s">
        <v>88</v>
      </c>
    </row>
    <row r="15" spans="2:12" x14ac:dyDescent="0.3">
      <c r="I15" t="s">
        <v>36</v>
      </c>
      <c r="J15" s="1">
        <v>2.3660000000000001</v>
      </c>
      <c r="K15" s="1">
        <v>2.6</v>
      </c>
      <c r="L15" t="s">
        <v>80</v>
      </c>
    </row>
    <row r="16" spans="2:12" x14ac:dyDescent="0.3">
      <c r="I16" t="s">
        <v>22</v>
      </c>
      <c r="J16" s="1">
        <v>4.0659999999999998</v>
      </c>
      <c r="K16" s="1">
        <v>4.28</v>
      </c>
      <c r="L16" t="s">
        <v>81</v>
      </c>
    </row>
    <row r="17" spans="9:12" x14ac:dyDescent="0.3">
      <c r="I17" t="s">
        <v>26</v>
      </c>
      <c r="J17" s="1">
        <v>6.4216000000000006</v>
      </c>
      <c r="K17" s="1">
        <v>6.98</v>
      </c>
      <c r="L17" t="s">
        <v>81</v>
      </c>
    </row>
    <row r="18" spans="9:12" x14ac:dyDescent="0.3">
      <c r="I18" t="s">
        <v>90</v>
      </c>
      <c r="J18" s="1">
        <v>2.6299000000000001</v>
      </c>
      <c r="K18" s="1">
        <v>2.89</v>
      </c>
      <c r="L18" t="s">
        <v>80</v>
      </c>
    </row>
    <row r="19" spans="9:12" x14ac:dyDescent="0.3">
      <c r="I19" t="s">
        <v>28</v>
      </c>
      <c r="J19" s="1">
        <v>22.226999999999997</v>
      </c>
      <c r="K19" s="1">
        <v>23.9</v>
      </c>
      <c r="L19" t="s">
        <v>81</v>
      </c>
    </row>
    <row r="20" spans="9:12" x14ac:dyDescent="0.3">
      <c r="I20" t="s">
        <v>27</v>
      </c>
      <c r="J20" s="1">
        <v>23.827999999999999</v>
      </c>
      <c r="K20" s="1">
        <v>25.9</v>
      </c>
      <c r="L20" t="s">
        <v>81</v>
      </c>
    </row>
    <row r="21" spans="9:12" x14ac:dyDescent="0.3">
      <c r="I21" t="s">
        <v>89</v>
      </c>
      <c r="J21" s="1">
        <v>2.1749000000000001</v>
      </c>
      <c r="K21" s="1">
        <v>2.39</v>
      </c>
      <c r="L21" t="s">
        <v>85</v>
      </c>
    </row>
    <row r="22" spans="9:12" x14ac:dyDescent="0.3">
      <c r="I22" t="s">
        <v>30</v>
      </c>
      <c r="J22" s="1">
        <v>3.2084999999999999</v>
      </c>
      <c r="K22" s="1">
        <v>3.45</v>
      </c>
      <c r="L22" t="s">
        <v>85</v>
      </c>
    </row>
    <row r="23" spans="9:12" x14ac:dyDescent="0.3">
      <c r="I23" t="s">
        <v>23</v>
      </c>
      <c r="J23" s="1">
        <v>5.3544000000000009</v>
      </c>
      <c r="K23" s="1">
        <v>5.82</v>
      </c>
      <c r="L23" t="s">
        <v>81</v>
      </c>
    </row>
    <row r="24" spans="9:12" x14ac:dyDescent="0.3">
      <c r="I24" t="s">
        <v>32</v>
      </c>
      <c r="J24" s="1">
        <v>9.1009999999999991</v>
      </c>
      <c r="K24" s="1">
        <v>9.58</v>
      </c>
      <c r="L24" t="s">
        <v>81</v>
      </c>
    </row>
    <row r="25" spans="9:12" x14ac:dyDescent="0.3">
      <c r="I25" t="s">
        <v>29</v>
      </c>
      <c r="J25" s="1">
        <v>26.012999999999998</v>
      </c>
      <c r="K25" s="1">
        <v>29.9</v>
      </c>
      <c r="L25" t="s">
        <v>86</v>
      </c>
    </row>
    <row r="26" spans="9:12" x14ac:dyDescent="0.3">
      <c r="I26" t="s">
        <v>35</v>
      </c>
      <c r="J26" s="1">
        <v>46.664999999999999</v>
      </c>
      <c r="K26" s="1">
        <v>54.9</v>
      </c>
      <c r="L26" t="s">
        <v>86</v>
      </c>
    </row>
  </sheetData>
  <sortState xmlns:xlrd2="http://schemas.microsoft.com/office/spreadsheetml/2017/richdata2" ref="D15:D35">
    <sortCondition ref="D14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Compras Mercadorias</vt:lpstr>
      <vt:lpstr>Controle de Estoque</vt:lpstr>
      <vt:lpstr>Investimentos</vt:lpstr>
      <vt:lpstr>Resultados</vt:lpstr>
      <vt:lpstr>Vendas</vt:lpstr>
      <vt:lpstr>Sem1</vt:lpstr>
      <vt:lpstr>Análise Sem1</vt:lpstr>
      <vt:lpstr>Sem2</vt:lpstr>
      <vt:lpstr>Análise Sem2</vt:lpstr>
      <vt:lpstr>Sem3</vt:lpstr>
      <vt:lpstr>Sem4</vt:lpstr>
      <vt:lpstr>Sem5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Paulo Ricardo</cp:lastModifiedBy>
  <cp:lastPrinted>2015-07-06T18:17:22Z</cp:lastPrinted>
  <dcterms:created xsi:type="dcterms:W3CDTF">2015-06-24T19:21:22Z</dcterms:created>
  <dcterms:modified xsi:type="dcterms:W3CDTF">2024-11-28T10:25:57Z</dcterms:modified>
</cp:coreProperties>
</file>